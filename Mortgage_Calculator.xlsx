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 malra\Downloads\personal financial model\"/>
    </mc:Choice>
  </mc:AlternateContent>
  <xr:revisionPtr revIDLastSave="0" documentId="13_ncr:1_{AA6BA0F0-58AD-4275-802E-9E558CD8D47F}" xr6:coauthVersionLast="47" xr6:coauthVersionMax="47" xr10:uidLastSave="{00000000-0000-0000-0000-000000000000}"/>
  <bookViews>
    <workbookView xWindow="-120" yWindow="-120" windowWidth="20730" windowHeight="11040" xr2:uid="{86522A1E-9572-4A0E-8C22-8A1E32A6DB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1" l="1"/>
  <c r="B22" i="1"/>
  <c r="D12" i="1"/>
  <c r="D23" i="1"/>
  <c r="D25" i="1"/>
  <c r="F22" i="1"/>
  <c r="D256" i="1"/>
  <c r="E256" i="1" s="1"/>
  <c r="B23" i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D22" i="1" l="1"/>
  <c r="D26" i="1"/>
  <c r="E26" i="1" s="1"/>
  <c r="D34" i="1"/>
  <c r="E34" i="1" s="1"/>
  <c r="D42" i="1"/>
  <c r="E42" i="1" s="1"/>
  <c r="D50" i="1"/>
  <c r="E50" i="1" s="1"/>
  <c r="D58" i="1"/>
  <c r="E58" i="1" s="1"/>
  <c r="D66" i="1"/>
  <c r="E66" i="1" s="1"/>
  <c r="D74" i="1"/>
  <c r="E74" i="1" s="1"/>
  <c r="D82" i="1"/>
  <c r="E82" i="1" s="1"/>
  <c r="D90" i="1"/>
  <c r="E90" i="1" s="1"/>
  <c r="D98" i="1"/>
  <c r="E98" i="1" s="1"/>
  <c r="D106" i="1"/>
  <c r="E106" i="1" s="1"/>
  <c r="D114" i="1"/>
  <c r="E114" i="1" s="1"/>
  <c r="D122" i="1"/>
  <c r="E122" i="1" s="1"/>
  <c r="D130" i="1"/>
  <c r="E130" i="1" s="1"/>
  <c r="D138" i="1"/>
  <c r="E138" i="1" s="1"/>
  <c r="D146" i="1"/>
  <c r="E146" i="1" s="1"/>
  <c r="D154" i="1"/>
  <c r="E154" i="1" s="1"/>
  <c r="D162" i="1"/>
  <c r="E162" i="1" s="1"/>
  <c r="D170" i="1"/>
  <c r="E170" i="1" s="1"/>
  <c r="D178" i="1"/>
  <c r="E178" i="1" s="1"/>
  <c r="D186" i="1"/>
  <c r="E186" i="1" s="1"/>
  <c r="D194" i="1"/>
  <c r="E194" i="1" s="1"/>
  <c r="D202" i="1"/>
  <c r="E202" i="1" s="1"/>
  <c r="D210" i="1"/>
  <c r="E210" i="1" s="1"/>
  <c r="D218" i="1"/>
  <c r="E218" i="1" s="1"/>
  <c r="D226" i="1"/>
  <c r="E226" i="1" s="1"/>
  <c r="D234" i="1"/>
  <c r="E234" i="1" s="1"/>
  <c r="D242" i="1"/>
  <c r="E242" i="1" s="1"/>
  <c r="D250" i="1"/>
  <c r="E250" i="1" s="1"/>
  <c r="E22" i="1"/>
  <c r="D30" i="1"/>
  <c r="E30" i="1" s="1"/>
  <c r="D38" i="1"/>
  <c r="E38" i="1" s="1"/>
  <c r="D46" i="1"/>
  <c r="E46" i="1" s="1"/>
  <c r="D54" i="1"/>
  <c r="E54" i="1" s="1"/>
  <c r="D62" i="1"/>
  <c r="E62" i="1" s="1"/>
  <c r="D70" i="1"/>
  <c r="E70" i="1" s="1"/>
  <c r="D78" i="1"/>
  <c r="E78" i="1" s="1"/>
  <c r="D86" i="1"/>
  <c r="E86" i="1" s="1"/>
  <c r="D94" i="1"/>
  <c r="E94" i="1" s="1"/>
  <c r="D102" i="1"/>
  <c r="E102" i="1" s="1"/>
  <c r="D110" i="1"/>
  <c r="E110" i="1" s="1"/>
  <c r="D118" i="1"/>
  <c r="E118" i="1" s="1"/>
  <c r="D126" i="1"/>
  <c r="E126" i="1" s="1"/>
  <c r="D134" i="1"/>
  <c r="E134" i="1" s="1"/>
  <c r="D142" i="1"/>
  <c r="E142" i="1" s="1"/>
  <c r="D150" i="1"/>
  <c r="E150" i="1" s="1"/>
  <c r="D158" i="1"/>
  <c r="E158" i="1" s="1"/>
  <c r="D166" i="1"/>
  <c r="E166" i="1" s="1"/>
  <c r="D174" i="1"/>
  <c r="E174" i="1" s="1"/>
  <c r="D182" i="1"/>
  <c r="E182" i="1" s="1"/>
  <c r="D190" i="1"/>
  <c r="E190" i="1" s="1"/>
  <c r="D198" i="1"/>
  <c r="E198" i="1" s="1"/>
  <c r="D206" i="1"/>
  <c r="E206" i="1" s="1"/>
  <c r="D214" i="1"/>
  <c r="E214" i="1" s="1"/>
  <c r="D222" i="1"/>
  <c r="E222" i="1" s="1"/>
  <c r="D230" i="1"/>
  <c r="E230" i="1" s="1"/>
  <c r="D238" i="1"/>
  <c r="E238" i="1" s="1"/>
  <c r="D246" i="1"/>
  <c r="E246" i="1" s="1"/>
  <c r="D24" i="1"/>
  <c r="D28" i="1"/>
  <c r="E28" i="1" s="1"/>
  <c r="D32" i="1"/>
  <c r="E32" i="1" s="1"/>
  <c r="D36" i="1"/>
  <c r="E36" i="1" s="1"/>
  <c r="D40" i="1"/>
  <c r="E40" i="1" s="1"/>
  <c r="D44" i="1"/>
  <c r="E44" i="1" s="1"/>
  <c r="D48" i="1"/>
  <c r="E48" i="1" s="1"/>
  <c r="D52" i="1"/>
  <c r="E52" i="1" s="1"/>
  <c r="D56" i="1"/>
  <c r="E56" i="1" s="1"/>
  <c r="D60" i="1"/>
  <c r="E60" i="1" s="1"/>
  <c r="D64" i="1"/>
  <c r="E64" i="1" s="1"/>
  <c r="D68" i="1"/>
  <c r="E68" i="1" s="1"/>
  <c r="D72" i="1"/>
  <c r="E72" i="1" s="1"/>
  <c r="D76" i="1"/>
  <c r="E76" i="1" s="1"/>
  <c r="D80" i="1"/>
  <c r="E80" i="1" s="1"/>
  <c r="D84" i="1"/>
  <c r="E84" i="1" s="1"/>
  <c r="D88" i="1"/>
  <c r="E88" i="1" s="1"/>
  <c r="D92" i="1"/>
  <c r="E92" i="1" s="1"/>
  <c r="D96" i="1"/>
  <c r="E96" i="1" s="1"/>
  <c r="D100" i="1"/>
  <c r="E100" i="1" s="1"/>
  <c r="D104" i="1"/>
  <c r="E104" i="1" s="1"/>
  <c r="D108" i="1"/>
  <c r="E108" i="1" s="1"/>
  <c r="D112" i="1"/>
  <c r="E112" i="1" s="1"/>
  <c r="D116" i="1"/>
  <c r="E116" i="1" s="1"/>
  <c r="D120" i="1"/>
  <c r="E120" i="1" s="1"/>
  <c r="D124" i="1"/>
  <c r="E124" i="1" s="1"/>
  <c r="D128" i="1"/>
  <c r="E128" i="1" s="1"/>
  <c r="D132" i="1"/>
  <c r="E132" i="1" s="1"/>
  <c r="D136" i="1"/>
  <c r="E136" i="1" s="1"/>
  <c r="D140" i="1"/>
  <c r="E140" i="1" s="1"/>
  <c r="D144" i="1"/>
  <c r="E144" i="1" s="1"/>
  <c r="D148" i="1"/>
  <c r="E148" i="1" s="1"/>
  <c r="D152" i="1"/>
  <c r="E152" i="1" s="1"/>
  <c r="D156" i="1"/>
  <c r="E156" i="1" s="1"/>
  <c r="D160" i="1"/>
  <c r="E160" i="1" s="1"/>
  <c r="D164" i="1"/>
  <c r="E164" i="1" s="1"/>
  <c r="D168" i="1"/>
  <c r="E168" i="1" s="1"/>
  <c r="D172" i="1"/>
  <c r="E172" i="1" s="1"/>
  <c r="D176" i="1"/>
  <c r="E176" i="1" s="1"/>
  <c r="D180" i="1"/>
  <c r="E180" i="1" s="1"/>
  <c r="D184" i="1"/>
  <c r="E184" i="1" s="1"/>
  <c r="D188" i="1"/>
  <c r="E188" i="1" s="1"/>
  <c r="D192" i="1"/>
  <c r="E192" i="1" s="1"/>
  <c r="D196" i="1"/>
  <c r="E196" i="1" s="1"/>
  <c r="D200" i="1"/>
  <c r="E200" i="1" s="1"/>
  <c r="D204" i="1"/>
  <c r="E204" i="1" s="1"/>
  <c r="D208" i="1"/>
  <c r="E208" i="1" s="1"/>
  <c r="D212" i="1"/>
  <c r="E212" i="1" s="1"/>
  <c r="D216" i="1"/>
  <c r="E216" i="1" s="1"/>
  <c r="D220" i="1"/>
  <c r="E220" i="1" s="1"/>
  <c r="D224" i="1"/>
  <c r="E224" i="1" s="1"/>
  <c r="D228" i="1"/>
  <c r="E228" i="1" s="1"/>
  <c r="D232" i="1"/>
  <c r="E232" i="1" s="1"/>
  <c r="D236" i="1"/>
  <c r="E236" i="1" s="1"/>
  <c r="D240" i="1"/>
  <c r="E240" i="1" s="1"/>
  <c r="D244" i="1"/>
  <c r="E244" i="1" s="1"/>
  <c r="D248" i="1"/>
  <c r="E248" i="1" s="1"/>
  <c r="D252" i="1"/>
  <c r="E252" i="1" s="1"/>
  <c r="E24" i="1"/>
  <c r="D255" i="1"/>
  <c r="E255" i="1" s="1"/>
  <c r="D257" i="1"/>
  <c r="E257" i="1" s="1"/>
  <c r="D259" i="1"/>
  <c r="E259" i="1" s="1"/>
  <c r="D261" i="1"/>
  <c r="E261" i="1" s="1"/>
  <c r="D254" i="1"/>
  <c r="D258" i="1"/>
  <c r="E258" i="1" s="1"/>
  <c r="D27" i="1"/>
  <c r="E27" i="1" s="1"/>
  <c r="D29" i="1"/>
  <c r="E29" i="1" s="1"/>
  <c r="D31" i="1"/>
  <c r="E31" i="1" s="1"/>
  <c r="D33" i="1"/>
  <c r="E33" i="1" s="1"/>
  <c r="D35" i="1"/>
  <c r="E35" i="1" s="1"/>
  <c r="D37" i="1"/>
  <c r="E37" i="1" s="1"/>
  <c r="D39" i="1"/>
  <c r="E39" i="1" s="1"/>
  <c r="D41" i="1"/>
  <c r="E41" i="1" s="1"/>
  <c r="D43" i="1"/>
  <c r="E43" i="1" s="1"/>
  <c r="D45" i="1"/>
  <c r="E45" i="1" s="1"/>
  <c r="D47" i="1"/>
  <c r="E47" i="1" s="1"/>
  <c r="D49" i="1"/>
  <c r="E49" i="1" s="1"/>
  <c r="D51" i="1"/>
  <c r="E51" i="1" s="1"/>
  <c r="D53" i="1"/>
  <c r="E53" i="1" s="1"/>
  <c r="D55" i="1"/>
  <c r="E55" i="1" s="1"/>
  <c r="D57" i="1"/>
  <c r="E57" i="1" s="1"/>
  <c r="D59" i="1"/>
  <c r="E59" i="1" s="1"/>
  <c r="D61" i="1"/>
  <c r="E61" i="1" s="1"/>
  <c r="D63" i="1"/>
  <c r="E63" i="1" s="1"/>
  <c r="D65" i="1"/>
  <c r="E65" i="1" s="1"/>
  <c r="D67" i="1"/>
  <c r="E67" i="1" s="1"/>
  <c r="D69" i="1"/>
  <c r="E69" i="1" s="1"/>
  <c r="D71" i="1"/>
  <c r="E71" i="1" s="1"/>
  <c r="D73" i="1"/>
  <c r="E73" i="1" s="1"/>
  <c r="D75" i="1"/>
  <c r="E75" i="1" s="1"/>
  <c r="D77" i="1"/>
  <c r="E77" i="1" s="1"/>
  <c r="D79" i="1"/>
  <c r="E79" i="1" s="1"/>
  <c r="D81" i="1"/>
  <c r="E81" i="1" s="1"/>
  <c r="D83" i="1"/>
  <c r="E83" i="1" s="1"/>
  <c r="D85" i="1"/>
  <c r="E85" i="1" s="1"/>
  <c r="D87" i="1"/>
  <c r="E87" i="1" s="1"/>
  <c r="D89" i="1"/>
  <c r="E89" i="1" s="1"/>
  <c r="D91" i="1"/>
  <c r="E91" i="1" s="1"/>
  <c r="D93" i="1"/>
  <c r="E93" i="1" s="1"/>
  <c r="D95" i="1"/>
  <c r="E95" i="1" s="1"/>
  <c r="D97" i="1"/>
  <c r="E97" i="1" s="1"/>
  <c r="D99" i="1"/>
  <c r="E99" i="1" s="1"/>
  <c r="D101" i="1"/>
  <c r="E101" i="1" s="1"/>
  <c r="D103" i="1"/>
  <c r="E103" i="1" s="1"/>
  <c r="D105" i="1"/>
  <c r="E105" i="1" s="1"/>
  <c r="D107" i="1"/>
  <c r="E107" i="1" s="1"/>
  <c r="D109" i="1"/>
  <c r="E109" i="1" s="1"/>
  <c r="D111" i="1"/>
  <c r="E111" i="1" s="1"/>
  <c r="D113" i="1"/>
  <c r="E113" i="1" s="1"/>
  <c r="D115" i="1"/>
  <c r="E115" i="1" s="1"/>
  <c r="D117" i="1"/>
  <c r="E117" i="1" s="1"/>
  <c r="D119" i="1"/>
  <c r="E119" i="1" s="1"/>
  <c r="D121" i="1"/>
  <c r="E121" i="1" s="1"/>
  <c r="D123" i="1"/>
  <c r="E123" i="1" s="1"/>
  <c r="D125" i="1"/>
  <c r="E125" i="1" s="1"/>
  <c r="D127" i="1"/>
  <c r="E127" i="1" s="1"/>
  <c r="D129" i="1"/>
  <c r="E129" i="1" s="1"/>
  <c r="D131" i="1"/>
  <c r="E131" i="1" s="1"/>
  <c r="D133" i="1"/>
  <c r="E133" i="1" s="1"/>
  <c r="D135" i="1"/>
  <c r="E135" i="1" s="1"/>
  <c r="D137" i="1"/>
  <c r="E137" i="1" s="1"/>
  <c r="D139" i="1"/>
  <c r="E139" i="1" s="1"/>
  <c r="D141" i="1"/>
  <c r="E141" i="1" s="1"/>
  <c r="D143" i="1"/>
  <c r="E143" i="1" s="1"/>
  <c r="D145" i="1"/>
  <c r="E145" i="1" s="1"/>
  <c r="D147" i="1"/>
  <c r="E147" i="1" s="1"/>
  <c r="D149" i="1"/>
  <c r="E149" i="1" s="1"/>
  <c r="D151" i="1"/>
  <c r="E151" i="1" s="1"/>
  <c r="D153" i="1"/>
  <c r="E153" i="1" s="1"/>
  <c r="D155" i="1"/>
  <c r="E155" i="1" s="1"/>
  <c r="D157" i="1"/>
  <c r="E157" i="1" s="1"/>
  <c r="D159" i="1"/>
  <c r="E159" i="1" s="1"/>
  <c r="D161" i="1"/>
  <c r="E161" i="1" s="1"/>
  <c r="D163" i="1"/>
  <c r="E163" i="1" s="1"/>
  <c r="D165" i="1"/>
  <c r="E165" i="1" s="1"/>
  <c r="D167" i="1"/>
  <c r="E167" i="1" s="1"/>
  <c r="D169" i="1"/>
  <c r="E169" i="1" s="1"/>
  <c r="D171" i="1"/>
  <c r="E171" i="1" s="1"/>
  <c r="D173" i="1"/>
  <c r="E173" i="1" s="1"/>
  <c r="D175" i="1"/>
  <c r="E175" i="1" s="1"/>
  <c r="D177" i="1"/>
  <c r="E177" i="1" s="1"/>
  <c r="D179" i="1"/>
  <c r="E179" i="1" s="1"/>
  <c r="D181" i="1"/>
  <c r="E181" i="1" s="1"/>
  <c r="D183" i="1"/>
  <c r="E183" i="1" s="1"/>
  <c r="D185" i="1"/>
  <c r="E185" i="1" s="1"/>
  <c r="D187" i="1"/>
  <c r="E187" i="1" s="1"/>
  <c r="D189" i="1"/>
  <c r="E189" i="1" s="1"/>
  <c r="D191" i="1"/>
  <c r="E191" i="1" s="1"/>
  <c r="D193" i="1"/>
  <c r="E193" i="1" s="1"/>
  <c r="D195" i="1"/>
  <c r="E195" i="1" s="1"/>
  <c r="D197" i="1"/>
  <c r="E197" i="1" s="1"/>
  <c r="D199" i="1"/>
  <c r="E199" i="1" s="1"/>
  <c r="D201" i="1"/>
  <c r="E201" i="1" s="1"/>
  <c r="D203" i="1"/>
  <c r="E203" i="1" s="1"/>
  <c r="D205" i="1"/>
  <c r="E205" i="1" s="1"/>
  <c r="D207" i="1"/>
  <c r="E207" i="1" s="1"/>
  <c r="D209" i="1"/>
  <c r="E209" i="1" s="1"/>
  <c r="D211" i="1"/>
  <c r="E211" i="1" s="1"/>
  <c r="D213" i="1"/>
  <c r="E213" i="1" s="1"/>
  <c r="D215" i="1"/>
  <c r="E215" i="1" s="1"/>
  <c r="D217" i="1"/>
  <c r="E217" i="1" s="1"/>
  <c r="D219" i="1"/>
  <c r="E219" i="1" s="1"/>
  <c r="D221" i="1"/>
  <c r="E221" i="1" s="1"/>
  <c r="D223" i="1"/>
  <c r="E223" i="1" s="1"/>
  <c r="D225" i="1"/>
  <c r="E225" i="1" s="1"/>
  <c r="D227" i="1"/>
  <c r="E227" i="1" s="1"/>
  <c r="D229" i="1"/>
  <c r="E229" i="1" s="1"/>
  <c r="D231" i="1"/>
  <c r="E231" i="1" s="1"/>
  <c r="D233" i="1"/>
  <c r="E233" i="1" s="1"/>
  <c r="D235" i="1"/>
  <c r="E235" i="1" s="1"/>
  <c r="D237" i="1"/>
  <c r="E237" i="1" s="1"/>
  <c r="D239" i="1"/>
  <c r="E239" i="1" s="1"/>
  <c r="D241" i="1"/>
  <c r="E241" i="1" s="1"/>
  <c r="D243" i="1"/>
  <c r="E243" i="1" s="1"/>
  <c r="D245" i="1"/>
  <c r="E245" i="1" s="1"/>
  <c r="D247" i="1"/>
  <c r="E247" i="1" s="1"/>
  <c r="D249" i="1"/>
  <c r="E249" i="1" s="1"/>
  <c r="D251" i="1"/>
  <c r="E251" i="1" s="1"/>
  <c r="D253" i="1"/>
  <c r="E253" i="1" s="1"/>
  <c r="D260" i="1"/>
  <c r="E260" i="1" s="1"/>
  <c r="E25" i="1" l="1"/>
  <c r="E23" i="1"/>
  <c r="E254" i="1"/>
  <c r="G22" i="1"/>
  <c r="H22" i="1" s="1"/>
  <c r="F23" i="1" l="1"/>
  <c r="G23" i="1" s="1"/>
  <c r="H23" i="1" s="1"/>
  <c r="F24" i="1" l="1"/>
  <c r="G24" i="1" s="1"/>
  <c r="H24" i="1" s="1"/>
  <c r="F25" i="1" l="1"/>
  <c r="G25" i="1" s="1"/>
  <c r="H25" i="1" s="1"/>
  <c r="F26" i="1" l="1"/>
  <c r="G26" i="1" s="1"/>
  <c r="H26" i="1" s="1"/>
  <c r="F27" i="1" s="1"/>
  <c r="G27" i="1" s="1"/>
  <c r="H27" i="1" s="1"/>
  <c r="F28" i="1" l="1"/>
  <c r="G28" i="1" s="1"/>
  <c r="H28" i="1" s="1"/>
  <c r="F29" i="1" l="1"/>
  <c r="G29" i="1" s="1"/>
  <c r="H29" i="1" s="1"/>
  <c r="F30" i="1" s="1"/>
  <c r="G30" i="1" s="1"/>
  <c r="H30" i="1" s="1"/>
  <c r="F31" i="1" s="1"/>
  <c r="G31" i="1" s="1"/>
  <c r="H31" i="1" s="1"/>
  <c r="F32" i="1" l="1"/>
  <c r="G32" i="1" s="1"/>
  <c r="H32" i="1" s="1"/>
  <c r="F33" i="1" l="1"/>
  <c r="G33" i="1" s="1"/>
  <c r="H33" i="1" s="1"/>
  <c r="F34" i="1" l="1"/>
  <c r="G34" i="1" s="1"/>
  <c r="H34" i="1" s="1"/>
  <c r="F35" i="1" l="1"/>
  <c r="G35" i="1" s="1"/>
  <c r="H35" i="1" s="1"/>
  <c r="F36" i="1" l="1"/>
  <c r="G36" i="1" s="1"/>
  <c r="H36" i="1" s="1"/>
  <c r="F37" i="1" l="1"/>
  <c r="G37" i="1" s="1"/>
  <c r="H37" i="1" s="1"/>
  <c r="F38" i="1" l="1"/>
  <c r="G38" i="1" s="1"/>
  <c r="H38" i="1" s="1"/>
  <c r="F39" i="1" l="1"/>
  <c r="G39" i="1" s="1"/>
  <c r="H39" i="1" s="1"/>
  <c r="F40" i="1" l="1"/>
  <c r="G40" i="1" s="1"/>
  <c r="H40" i="1" s="1"/>
  <c r="F41" i="1" l="1"/>
  <c r="G41" i="1" s="1"/>
  <c r="H41" i="1" s="1"/>
  <c r="F42" i="1" l="1"/>
  <c r="G42" i="1" s="1"/>
  <c r="H42" i="1" s="1"/>
  <c r="F43" i="1" l="1"/>
  <c r="G43" i="1" s="1"/>
  <c r="H43" i="1" s="1"/>
  <c r="F44" i="1" l="1"/>
  <c r="G44" i="1" s="1"/>
  <c r="H44" i="1" s="1"/>
  <c r="F45" i="1" l="1"/>
  <c r="G45" i="1" s="1"/>
  <c r="H45" i="1" s="1"/>
  <c r="F46" i="1" l="1"/>
  <c r="G46" i="1" s="1"/>
  <c r="H46" i="1" s="1"/>
  <c r="F47" i="1" l="1"/>
  <c r="G47" i="1" s="1"/>
  <c r="H47" i="1" s="1"/>
  <c r="F48" i="1" l="1"/>
  <c r="G48" i="1" s="1"/>
  <c r="H48" i="1" s="1"/>
  <c r="F49" i="1" l="1"/>
  <c r="G49" i="1" s="1"/>
  <c r="H49" i="1" s="1"/>
  <c r="F50" i="1" l="1"/>
  <c r="G50" i="1" s="1"/>
  <c r="H50" i="1" s="1"/>
  <c r="F51" i="1" l="1"/>
  <c r="G51" i="1" s="1"/>
  <c r="H51" i="1" s="1"/>
  <c r="F52" i="1" l="1"/>
  <c r="G52" i="1" s="1"/>
  <c r="H52" i="1" s="1"/>
  <c r="F53" i="1" l="1"/>
  <c r="G53" i="1" s="1"/>
  <c r="H53" i="1" s="1"/>
  <c r="F54" i="1" l="1"/>
  <c r="G54" i="1" s="1"/>
  <c r="H54" i="1" s="1"/>
  <c r="F55" i="1" l="1"/>
  <c r="G55" i="1" s="1"/>
  <c r="H55" i="1" s="1"/>
  <c r="F56" i="1" l="1"/>
  <c r="G56" i="1" s="1"/>
  <c r="H56" i="1" s="1"/>
  <c r="F57" i="1" l="1"/>
  <c r="G57" i="1" s="1"/>
  <c r="H57" i="1" s="1"/>
  <c r="F58" i="1" l="1"/>
  <c r="G58" i="1" s="1"/>
  <c r="H58" i="1" s="1"/>
  <c r="F59" i="1" l="1"/>
  <c r="G59" i="1" s="1"/>
  <c r="H59" i="1" s="1"/>
  <c r="F60" i="1" l="1"/>
  <c r="G60" i="1" s="1"/>
  <c r="H60" i="1" s="1"/>
  <c r="F61" i="1" l="1"/>
  <c r="G61" i="1" s="1"/>
  <c r="H61" i="1" s="1"/>
  <c r="F62" i="1" l="1"/>
  <c r="G62" i="1" s="1"/>
  <c r="H62" i="1" s="1"/>
  <c r="F63" i="1" l="1"/>
  <c r="G63" i="1" s="1"/>
  <c r="H63" i="1" s="1"/>
  <c r="F64" i="1" l="1"/>
  <c r="G64" i="1" s="1"/>
  <c r="H64" i="1" s="1"/>
  <c r="F65" i="1" l="1"/>
  <c r="G65" i="1" s="1"/>
  <c r="H65" i="1" s="1"/>
  <c r="F66" i="1" l="1"/>
  <c r="G66" i="1" s="1"/>
  <c r="H66" i="1" s="1"/>
  <c r="F67" i="1" l="1"/>
  <c r="G67" i="1" s="1"/>
  <c r="H67" i="1" s="1"/>
  <c r="F68" i="1" l="1"/>
  <c r="G68" i="1" s="1"/>
  <c r="H68" i="1" s="1"/>
  <c r="F69" i="1" l="1"/>
  <c r="G69" i="1" s="1"/>
  <c r="H69" i="1" s="1"/>
  <c r="F70" i="1" l="1"/>
  <c r="G70" i="1" s="1"/>
  <c r="H70" i="1" s="1"/>
  <c r="F71" i="1" l="1"/>
  <c r="G71" i="1" s="1"/>
  <c r="H71" i="1" s="1"/>
  <c r="F72" i="1" l="1"/>
  <c r="G72" i="1" s="1"/>
  <c r="H72" i="1" s="1"/>
  <c r="F73" i="1" l="1"/>
  <c r="G73" i="1" s="1"/>
  <c r="H73" i="1" s="1"/>
  <c r="F74" i="1" l="1"/>
  <c r="G74" i="1" s="1"/>
  <c r="H74" i="1" s="1"/>
  <c r="F75" i="1" l="1"/>
  <c r="G75" i="1" s="1"/>
  <c r="H75" i="1" s="1"/>
  <c r="F76" i="1" l="1"/>
  <c r="G76" i="1" s="1"/>
  <c r="H76" i="1" s="1"/>
  <c r="F77" i="1" l="1"/>
  <c r="G77" i="1" s="1"/>
  <c r="H77" i="1" s="1"/>
  <c r="F78" i="1" l="1"/>
  <c r="G78" i="1" s="1"/>
  <c r="H78" i="1" s="1"/>
  <c r="F79" i="1" l="1"/>
  <c r="G79" i="1" s="1"/>
  <c r="H79" i="1" s="1"/>
  <c r="F80" i="1" l="1"/>
  <c r="G80" i="1" s="1"/>
  <c r="H80" i="1" s="1"/>
  <c r="F81" i="1" l="1"/>
  <c r="G81" i="1" s="1"/>
  <c r="H81" i="1" s="1"/>
  <c r="F82" i="1" l="1"/>
  <c r="G82" i="1" s="1"/>
  <c r="H82" i="1" s="1"/>
  <c r="F83" i="1" l="1"/>
  <c r="G83" i="1" s="1"/>
  <c r="H83" i="1" s="1"/>
  <c r="F84" i="1" l="1"/>
  <c r="G84" i="1" s="1"/>
  <c r="H84" i="1" s="1"/>
  <c r="F85" i="1" l="1"/>
  <c r="G85" i="1" s="1"/>
  <c r="H85" i="1" s="1"/>
  <c r="F86" i="1" l="1"/>
  <c r="G86" i="1" s="1"/>
  <c r="H86" i="1" s="1"/>
  <c r="F87" i="1" l="1"/>
  <c r="G87" i="1" s="1"/>
  <c r="H87" i="1" s="1"/>
  <c r="F88" i="1" l="1"/>
  <c r="G88" i="1" s="1"/>
  <c r="H88" i="1" s="1"/>
  <c r="F89" i="1" l="1"/>
  <c r="G89" i="1" s="1"/>
  <c r="H89" i="1" s="1"/>
  <c r="F90" i="1" l="1"/>
  <c r="G90" i="1" s="1"/>
  <c r="H90" i="1" s="1"/>
  <c r="F91" i="1" l="1"/>
  <c r="G91" i="1" s="1"/>
  <c r="H91" i="1" s="1"/>
  <c r="F92" i="1" l="1"/>
  <c r="G92" i="1" s="1"/>
  <c r="H92" i="1" s="1"/>
  <c r="F93" i="1" l="1"/>
  <c r="G93" i="1" s="1"/>
  <c r="H93" i="1" s="1"/>
  <c r="F94" i="1" l="1"/>
  <c r="G94" i="1" s="1"/>
  <c r="H94" i="1" s="1"/>
  <c r="F95" i="1" l="1"/>
  <c r="G95" i="1" s="1"/>
  <c r="H95" i="1" s="1"/>
  <c r="F96" i="1" l="1"/>
  <c r="G96" i="1" s="1"/>
  <c r="H96" i="1" s="1"/>
  <c r="F97" i="1" l="1"/>
  <c r="G97" i="1" s="1"/>
  <c r="H97" i="1" s="1"/>
  <c r="F98" i="1" l="1"/>
  <c r="G98" i="1" s="1"/>
  <c r="H98" i="1" s="1"/>
  <c r="F99" i="1" l="1"/>
  <c r="G99" i="1" s="1"/>
  <c r="H99" i="1" s="1"/>
  <c r="F100" i="1" l="1"/>
  <c r="G100" i="1" s="1"/>
  <c r="H100" i="1" s="1"/>
  <c r="F101" i="1" l="1"/>
  <c r="G101" i="1" s="1"/>
  <c r="H101" i="1" s="1"/>
  <c r="F102" i="1" l="1"/>
  <c r="G102" i="1" s="1"/>
  <c r="H102" i="1" s="1"/>
  <c r="F103" i="1" l="1"/>
  <c r="G103" i="1" s="1"/>
  <c r="H103" i="1" s="1"/>
  <c r="F104" i="1" l="1"/>
  <c r="G104" i="1" s="1"/>
  <c r="H104" i="1" s="1"/>
  <c r="F105" i="1" l="1"/>
  <c r="G105" i="1" s="1"/>
  <c r="H105" i="1" s="1"/>
  <c r="F106" i="1" l="1"/>
  <c r="G106" i="1" s="1"/>
  <c r="H106" i="1" s="1"/>
  <c r="F107" i="1" l="1"/>
  <c r="G107" i="1" s="1"/>
  <c r="H107" i="1" s="1"/>
  <c r="F108" i="1" l="1"/>
  <c r="G108" i="1" s="1"/>
  <c r="H108" i="1" s="1"/>
  <c r="F109" i="1" l="1"/>
  <c r="G109" i="1" s="1"/>
  <c r="H109" i="1" s="1"/>
  <c r="F110" i="1" l="1"/>
  <c r="G110" i="1" s="1"/>
  <c r="H110" i="1" s="1"/>
  <c r="F111" i="1" l="1"/>
  <c r="G111" i="1" s="1"/>
  <c r="H111" i="1" s="1"/>
  <c r="F112" i="1" l="1"/>
  <c r="G112" i="1" s="1"/>
  <c r="H112" i="1" s="1"/>
  <c r="F113" i="1" l="1"/>
  <c r="G113" i="1" s="1"/>
  <c r="H113" i="1" s="1"/>
  <c r="F114" i="1" l="1"/>
  <c r="G114" i="1" s="1"/>
  <c r="H114" i="1" s="1"/>
  <c r="F115" i="1" l="1"/>
  <c r="G115" i="1" s="1"/>
  <c r="H115" i="1" s="1"/>
  <c r="F116" i="1" l="1"/>
  <c r="G116" i="1" s="1"/>
  <c r="H116" i="1" s="1"/>
  <c r="F117" i="1" l="1"/>
  <c r="G117" i="1" s="1"/>
  <c r="H117" i="1" s="1"/>
  <c r="F118" i="1" l="1"/>
  <c r="G118" i="1" s="1"/>
  <c r="H118" i="1" s="1"/>
  <c r="F119" i="1" l="1"/>
  <c r="G119" i="1" s="1"/>
  <c r="H119" i="1" s="1"/>
  <c r="F120" i="1" l="1"/>
  <c r="G120" i="1" s="1"/>
  <c r="H120" i="1" s="1"/>
  <c r="F121" i="1" l="1"/>
  <c r="G121" i="1" s="1"/>
  <c r="H121" i="1" s="1"/>
  <c r="F122" i="1" l="1"/>
  <c r="G122" i="1" s="1"/>
  <c r="H122" i="1" s="1"/>
  <c r="F123" i="1" l="1"/>
  <c r="G123" i="1" s="1"/>
  <c r="H123" i="1" s="1"/>
  <c r="F124" i="1" l="1"/>
  <c r="G124" i="1" s="1"/>
  <c r="H124" i="1" s="1"/>
  <c r="F125" i="1" l="1"/>
  <c r="G125" i="1" s="1"/>
  <c r="H125" i="1" s="1"/>
  <c r="F126" i="1" l="1"/>
  <c r="G126" i="1" s="1"/>
  <c r="H126" i="1" s="1"/>
  <c r="F127" i="1" l="1"/>
  <c r="G127" i="1" s="1"/>
  <c r="H127" i="1" s="1"/>
  <c r="F128" i="1" l="1"/>
  <c r="G128" i="1" s="1"/>
  <c r="H128" i="1" s="1"/>
  <c r="F129" i="1" l="1"/>
  <c r="G129" i="1" s="1"/>
  <c r="H129" i="1" s="1"/>
  <c r="F130" i="1" l="1"/>
  <c r="G130" i="1" s="1"/>
  <c r="H130" i="1" s="1"/>
  <c r="F131" i="1" l="1"/>
  <c r="G131" i="1" s="1"/>
  <c r="H131" i="1" s="1"/>
  <c r="F132" i="1" l="1"/>
  <c r="G132" i="1" s="1"/>
  <c r="H132" i="1" s="1"/>
  <c r="F133" i="1" l="1"/>
  <c r="G133" i="1" s="1"/>
  <c r="H133" i="1" s="1"/>
  <c r="F134" i="1" l="1"/>
  <c r="G134" i="1" s="1"/>
  <c r="H134" i="1" s="1"/>
  <c r="F135" i="1" l="1"/>
  <c r="G135" i="1" s="1"/>
  <c r="H135" i="1" s="1"/>
  <c r="F136" i="1" l="1"/>
  <c r="G136" i="1" s="1"/>
  <c r="H136" i="1" s="1"/>
  <c r="F137" i="1" l="1"/>
  <c r="G137" i="1" s="1"/>
  <c r="H137" i="1" s="1"/>
  <c r="F138" i="1" l="1"/>
  <c r="G138" i="1" s="1"/>
  <c r="H138" i="1" s="1"/>
  <c r="F139" i="1" l="1"/>
  <c r="G139" i="1" s="1"/>
  <c r="H139" i="1" s="1"/>
  <c r="F140" i="1" l="1"/>
  <c r="G140" i="1" s="1"/>
  <c r="H140" i="1" s="1"/>
  <c r="F141" i="1" l="1"/>
  <c r="G141" i="1" s="1"/>
  <c r="H141" i="1" s="1"/>
  <c r="F142" i="1" l="1"/>
  <c r="G142" i="1" s="1"/>
  <c r="H142" i="1" s="1"/>
  <c r="F143" i="1" l="1"/>
  <c r="G143" i="1" s="1"/>
  <c r="H143" i="1" s="1"/>
  <c r="F144" i="1" l="1"/>
  <c r="G144" i="1" s="1"/>
  <c r="H144" i="1" s="1"/>
  <c r="F145" i="1" l="1"/>
  <c r="G145" i="1" s="1"/>
  <c r="H145" i="1" s="1"/>
  <c r="F146" i="1" l="1"/>
  <c r="G146" i="1" s="1"/>
  <c r="H146" i="1" s="1"/>
  <c r="F147" i="1" l="1"/>
  <c r="G147" i="1" s="1"/>
  <c r="H147" i="1" s="1"/>
  <c r="F148" i="1" l="1"/>
  <c r="G148" i="1" s="1"/>
  <c r="H148" i="1" s="1"/>
  <c r="F149" i="1" l="1"/>
  <c r="G149" i="1" s="1"/>
  <c r="H149" i="1" s="1"/>
  <c r="F150" i="1" l="1"/>
  <c r="G150" i="1" s="1"/>
  <c r="H150" i="1" s="1"/>
  <c r="F151" i="1" l="1"/>
  <c r="G151" i="1" s="1"/>
  <c r="H151" i="1" s="1"/>
  <c r="F152" i="1" l="1"/>
  <c r="G152" i="1" s="1"/>
  <c r="H152" i="1" s="1"/>
  <c r="F153" i="1" l="1"/>
  <c r="G153" i="1" s="1"/>
  <c r="H153" i="1" s="1"/>
  <c r="F154" i="1" l="1"/>
  <c r="G154" i="1" s="1"/>
  <c r="H154" i="1" s="1"/>
  <c r="F155" i="1" l="1"/>
  <c r="G155" i="1" s="1"/>
  <c r="H155" i="1" s="1"/>
  <c r="F156" i="1" l="1"/>
  <c r="G156" i="1" s="1"/>
  <c r="H156" i="1" s="1"/>
  <c r="F157" i="1" l="1"/>
  <c r="G157" i="1" s="1"/>
  <c r="H157" i="1" s="1"/>
  <c r="F158" i="1" l="1"/>
  <c r="G158" i="1" s="1"/>
  <c r="H158" i="1" s="1"/>
  <c r="F159" i="1" l="1"/>
  <c r="G159" i="1" s="1"/>
  <c r="H159" i="1" s="1"/>
  <c r="F160" i="1" l="1"/>
  <c r="G160" i="1" s="1"/>
  <c r="H160" i="1" s="1"/>
  <c r="F161" i="1" l="1"/>
  <c r="G161" i="1" s="1"/>
  <c r="H161" i="1" s="1"/>
  <c r="F162" i="1" l="1"/>
  <c r="G162" i="1" s="1"/>
  <c r="H162" i="1" s="1"/>
  <c r="F163" i="1" l="1"/>
  <c r="G163" i="1" s="1"/>
  <c r="H163" i="1" s="1"/>
  <c r="F164" i="1" l="1"/>
  <c r="G164" i="1" s="1"/>
  <c r="H164" i="1" s="1"/>
  <c r="F165" i="1" l="1"/>
  <c r="G165" i="1" s="1"/>
  <c r="H165" i="1" s="1"/>
  <c r="F166" i="1" l="1"/>
  <c r="G166" i="1" s="1"/>
  <c r="H166" i="1" s="1"/>
  <c r="F167" i="1" l="1"/>
  <c r="G167" i="1" s="1"/>
  <c r="H167" i="1" s="1"/>
  <c r="F168" i="1" l="1"/>
  <c r="G168" i="1" s="1"/>
  <c r="H168" i="1" s="1"/>
  <c r="F169" i="1" l="1"/>
  <c r="G169" i="1" s="1"/>
  <c r="H169" i="1" s="1"/>
  <c r="F170" i="1" l="1"/>
  <c r="G170" i="1" s="1"/>
  <c r="H170" i="1" s="1"/>
  <c r="F171" i="1" l="1"/>
  <c r="G171" i="1" s="1"/>
  <c r="H171" i="1" s="1"/>
  <c r="F172" i="1" l="1"/>
  <c r="G172" i="1" s="1"/>
  <c r="H172" i="1" s="1"/>
  <c r="F173" i="1" l="1"/>
  <c r="G173" i="1" s="1"/>
  <c r="H173" i="1" s="1"/>
  <c r="F174" i="1" l="1"/>
  <c r="G174" i="1" s="1"/>
  <c r="H174" i="1" s="1"/>
  <c r="F175" i="1" l="1"/>
  <c r="G175" i="1" s="1"/>
  <c r="H175" i="1" s="1"/>
  <c r="F176" i="1" l="1"/>
  <c r="G176" i="1" s="1"/>
  <c r="H176" i="1" s="1"/>
  <c r="F177" i="1" l="1"/>
  <c r="G177" i="1" s="1"/>
  <c r="H177" i="1" s="1"/>
  <c r="F178" i="1" l="1"/>
  <c r="G178" i="1" s="1"/>
  <c r="H178" i="1" s="1"/>
  <c r="F179" i="1" l="1"/>
  <c r="G179" i="1" s="1"/>
  <c r="H179" i="1" s="1"/>
  <c r="F180" i="1" l="1"/>
  <c r="G180" i="1" s="1"/>
  <c r="H180" i="1" s="1"/>
  <c r="F181" i="1" l="1"/>
  <c r="G181" i="1" s="1"/>
  <c r="H181" i="1" s="1"/>
  <c r="F182" i="1" l="1"/>
  <c r="G182" i="1" s="1"/>
  <c r="H182" i="1" s="1"/>
  <c r="F183" i="1" l="1"/>
  <c r="G183" i="1" s="1"/>
  <c r="H183" i="1" s="1"/>
  <c r="F184" i="1" l="1"/>
  <c r="G184" i="1" s="1"/>
  <c r="H184" i="1" s="1"/>
  <c r="F185" i="1" l="1"/>
  <c r="G185" i="1" s="1"/>
  <c r="H185" i="1" s="1"/>
  <c r="F186" i="1" l="1"/>
  <c r="G186" i="1" s="1"/>
  <c r="H186" i="1" s="1"/>
  <c r="F187" i="1" l="1"/>
  <c r="G187" i="1" s="1"/>
  <c r="H187" i="1" s="1"/>
  <c r="F188" i="1" l="1"/>
  <c r="G188" i="1" s="1"/>
  <c r="H188" i="1" s="1"/>
  <c r="F189" i="1" l="1"/>
  <c r="G189" i="1" s="1"/>
  <c r="H189" i="1" s="1"/>
  <c r="F190" i="1" l="1"/>
  <c r="G190" i="1" s="1"/>
  <c r="H190" i="1" s="1"/>
  <c r="F191" i="1" l="1"/>
  <c r="G191" i="1" s="1"/>
  <c r="H191" i="1" s="1"/>
  <c r="F192" i="1" l="1"/>
  <c r="G192" i="1" s="1"/>
  <c r="H192" i="1" s="1"/>
  <c r="F193" i="1" l="1"/>
  <c r="G193" i="1" s="1"/>
  <c r="H193" i="1" s="1"/>
  <c r="F194" i="1" l="1"/>
  <c r="G194" i="1" s="1"/>
  <c r="H194" i="1" s="1"/>
  <c r="F195" i="1" l="1"/>
  <c r="G195" i="1" s="1"/>
  <c r="H195" i="1" s="1"/>
  <c r="F196" i="1" l="1"/>
  <c r="G196" i="1" s="1"/>
  <c r="H196" i="1" s="1"/>
  <c r="F197" i="1" l="1"/>
  <c r="G197" i="1" s="1"/>
  <c r="H197" i="1" s="1"/>
  <c r="F198" i="1" l="1"/>
  <c r="G198" i="1" s="1"/>
  <c r="H198" i="1" s="1"/>
  <c r="F199" i="1" l="1"/>
  <c r="G199" i="1" s="1"/>
  <c r="H199" i="1" s="1"/>
  <c r="F200" i="1" l="1"/>
  <c r="G200" i="1" s="1"/>
  <c r="H200" i="1" s="1"/>
  <c r="F201" i="1" l="1"/>
  <c r="G201" i="1" s="1"/>
  <c r="H201" i="1" s="1"/>
  <c r="F202" i="1" l="1"/>
  <c r="G202" i="1" s="1"/>
  <c r="H202" i="1" s="1"/>
  <c r="F203" i="1" l="1"/>
  <c r="G203" i="1" s="1"/>
  <c r="H203" i="1" s="1"/>
  <c r="F204" i="1" l="1"/>
  <c r="G204" i="1" s="1"/>
  <c r="H204" i="1" s="1"/>
  <c r="F205" i="1" l="1"/>
  <c r="G205" i="1" s="1"/>
  <c r="H205" i="1" s="1"/>
  <c r="F206" i="1" l="1"/>
  <c r="G206" i="1" s="1"/>
  <c r="H206" i="1" s="1"/>
  <c r="F207" i="1" l="1"/>
  <c r="G207" i="1" s="1"/>
  <c r="H207" i="1" s="1"/>
  <c r="F208" i="1" l="1"/>
  <c r="G208" i="1" s="1"/>
  <c r="H208" i="1" s="1"/>
  <c r="F209" i="1" l="1"/>
  <c r="G209" i="1" s="1"/>
  <c r="H209" i="1" s="1"/>
  <c r="F210" i="1" l="1"/>
  <c r="G210" i="1" s="1"/>
  <c r="H210" i="1" s="1"/>
  <c r="F211" i="1" l="1"/>
  <c r="G211" i="1" s="1"/>
  <c r="H211" i="1" s="1"/>
  <c r="F212" i="1" l="1"/>
  <c r="G212" i="1" s="1"/>
  <c r="H212" i="1" s="1"/>
  <c r="F213" i="1" l="1"/>
  <c r="G213" i="1" s="1"/>
  <c r="H213" i="1" s="1"/>
  <c r="F214" i="1" l="1"/>
  <c r="G214" i="1" s="1"/>
  <c r="H214" i="1" s="1"/>
  <c r="F215" i="1" l="1"/>
  <c r="G215" i="1" s="1"/>
  <c r="H215" i="1" s="1"/>
  <c r="F216" i="1" l="1"/>
  <c r="G216" i="1" s="1"/>
  <c r="H216" i="1" s="1"/>
  <c r="F217" i="1" l="1"/>
  <c r="G217" i="1" s="1"/>
  <c r="H217" i="1" s="1"/>
  <c r="F218" i="1" l="1"/>
  <c r="G218" i="1" s="1"/>
  <c r="H218" i="1" s="1"/>
  <c r="F219" i="1" l="1"/>
  <c r="G219" i="1" s="1"/>
  <c r="H219" i="1" s="1"/>
  <c r="F220" i="1" l="1"/>
  <c r="G220" i="1" s="1"/>
  <c r="H220" i="1" s="1"/>
  <c r="F221" i="1" l="1"/>
  <c r="G221" i="1" s="1"/>
  <c r="H221" i="1" s="1"/>
  <c r="F222" i="1" l="1"/>
  <c r="G222" i="1" s="1"/>
  <c r="H222" i="1" s="1"/>
  <c r="F223" i="1" l="1"/>
  <c r="G223" i="1" s="1"/>
  <c r="H223" i="1" s="1"/>
  <c r="F224" i="1" l="1"/>
  <c r="G224" i="1" s="1"/>
  <c r="H224" i="1" s="1"/>
  <c r="F225" i="1" l="1"/>
  <c r="G225" i="1" s="1"/>
  <c r="H225" i="1" s="1"/>
  <c r="F226" i="1" l="1"/>
  <c r="G226" i="1" s="1"/>
  <c r="H226" i="1" s="1"/>
  <c r="F227" i="1" l="1"/>
  <c r="G227" i="1" s="1"/>
  <c r="H227" i="1" s="1"/>
  <c r="F228" i="1" l="1"/>
  <c r="G228" i="1" s="1"/>
  <c r="H228" i="1" s="1"/>
  <c r="F229" i="1" l="1"/>
  <c r="G229" i="1" s="1"/>
  <c r="H229" i="1" s="1"/>
  <c r="F230" i="1" l="1"/>
  <c r="G230" i="1" s="1"/>
  <c r="H230" i="1" s="1"/>
  <c r="F231" i="1" l="1"/>
  <c r="G231" i="1" s="1"/>
  <c r="H231" i="1" s="1"/>
  <c r="F232" i="1" l="1"/>
  <c r="G232" i="1" s="1"/>
  <c r="H232" i="1" s="1"/>
  <c r="F233" i="1" l="1"/>
  <c r="G233" i="1" s="1"/>
  <c r="H233" i="1" s="1"/>
  <c r="F234" i="1" l="1"/>
  <c r="G234" i="1" s="1"/>
  <c r="H234" i="1" s="1"/>
  <c r="F235" i="1" l="1"/>
  <c r="G235" i="1" s="1"/>
  <c r="H235" i="1" s="1"/>
  <c r="F236" i="1" l="1"/>
  <c r="G236" i="1" s="1"/>
  <c r="H236" i="1" s="1"/>
  <c r="F237" i="1" l="1"/>
  <c r="G237" i="1" s="1"/>
  <c r="H237" i="1" s="1"/>
  <c r="F238" i="1" l="1"/>
  <c r="G238" i="1" s="1"/>
  <c r="H238" i="1" s="1"/>
  <c r="F239" i="1" l="1"/>
  <c r="G239" i="1" s="1"/>
  <c r="H239" i="1" s="1"/>
  <c r="F240" i="1" l="1"/>
  <c r="G240" i="1" s="1"/>
  <c r="H240" i="1" s="1"/>
  <c r="F241" i="1" l="1"/>
  <c r="G241" i="1" s="1"/>
  <c r="H241" i="1" s="1"/>
  <c r="F242" i="1" l="1"/>
  <c r="G242" i="1" s="1"/>
  <c r="H242" i="1" s="1"/>
  <c r="F243" i="1" l="1"/>
  <c r="G243" i="1" s="1"/>
  <c r="H243" i="1" s="1"/>
  <c r="F244" i="1" l="1"/>
  <c r="G244" i="1" s="1"/>
  <c r="H244" i="1" s="1"/>
  <c r="F245" i="1" l="1"/>
  <c r="G245" i="1" s="1"/>
  <c r="H245" i="1" s="1"/>
  <c r="F246" i="1" l="1"/>
  <c r="G246" i="1" s="1"/>
  <c r="H246" i="1" s="1"/>
  <c r="F247" i="1" l="1"/>
  <c r="G247" i="1" s="1"/>
  <c r="H247" i="1" s="1"/>
  <c r="F248" i="1" l="1"/>
  <c r="G248" i="1" s="1"/>
  <c r="H248" i="1" s="1"/>
  <c r="F249" i="1" l="1"/>
  <c r="G249" i="1" s="1"/>
  <c r="H249" i="1" s="1"/>
  <c r="F250" i="1" l="1"/>
  <c r="G250" i="1" s="1"/>
  <c r="H250" i="1" s="1"/>
  <c r="F251" i="1" l="1"/>
  <c r="G251" i="1" s="1"/>
  <c r="H251" i="1" s="1"/>
  <c r="F252" i="1" l="1"/>
  <c r="G252" i="1" s="1"/>
  <c r="H252" i="1" s="1"/>
  <c r="F253" i="1" l="1"/>
  <c r="G253" i="1" s="1"/>
  <c r="H253" i="1" s="1"/>
  <c r="F254" i="1" l="1"/>
  <c r="G254" i="1" s="1"/>
  <c r="H254" i="1" s="1"/>
  <c r="F255" i="1" s="1"/>
  <c r="G255" i="1" s="1"/>
  <c r="H255" i="1" s="1"/>
  <c r="F256" i="1" s="1"/>
  <c r="G256" i="1" s="1"/>
  <c r="H256" i="1" s="1"/>
  <c r="F257" i="1" s="1"/>
  <c r="G257" i="1" s="1"/>
  <c r="H257" i="1" s="1"/>
  <c r="F258" i="1" s="1"/>
  <c r="G258" i="1" s="1"/>
  <c r="H258" i="1" s="1"/>
  <c r="F259" i="1" s="1"/>
  <c r="G259" i="1" s="1"/>
  <c r="H259" i="1" s="1"/>
  <c r="F260" i="1" s="1"/>
  <c r="G260" i="1" s="1"/>
  <c r="H260" i="1" s="1"/>
  <c r="F261" i="1" s="1"/>
  <c r="G261" i="1" s="1"/>
  <c r="H261" i="1" s="1"/>
</calcChain>
</file>

<file path=xl/sharedStrings.xml><?xml version="1.0" encoding="utf-8"?>
<sst xmlns="http://schemas.openxmlformats.org/spreadsheetml/2006/main" count="15" uniqueCount="15">
  <si>
    <t>Loan details</t>
  </si>
  <si>
    <t>Principle</t>
  </si>
  <si>
    <t>Interest Rate</t>
  </si>
  <si>
    <t>Years</t>
  </si>
  <si>
    <t>Monthly Paymnets</t>
  </si>
  <si>
    <t>Start Date</t>
  </si>
  <si>
    <t>Calculation table</t>
  </si>
  <si>
    <t>Payment date</t>
  </si>
  <si>
    <t>Total Payment</t>
  </si>
  <si>
    <t>Interest paid</t>
  </si>
  <si>
    <t>Extra principle</t>
  </si>
  <si>
    <t>Principle paid</t>
  </si>
  <si>
    <t>Remaining Balance</t>
  </si>
  <si>
    <t>Particulars</t>
  </si>
  <si>
    <r>
      <t xml:space="preserve">Mortagage Tracker </t>
    </r>
    <r>
      <rPr>
        <b/>
        <i/>
        <u/>
        <sz val="18"/>
        <color theme="1"/>
        <rFont val="Arial Black"/>
        <family val="2"/>
      </rPr>
      <t>(with pre-paymnet)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</si>
</sst>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[$-14009]dd/mm/yyyy;@"/>
  </numFmts>
  <fonts count="10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i/>
      <sz val="11"/>
      <color theme="1"/>
      <name val="Arial Black"/>
      <family val="2"/>
    </font>
    <font>
      <b/>
      <sz val="14"/>
      <color theme="1"/>
      <name val="Calibri"/>
      <family val="2"/>
    </font>
    <font>
      <b/>
      <sz val="11"/>
      <color theme="0"/>
      <name val="Calibri"/>
      <family val="2"/>
    </font>
    <font>
      <b/>
      <sz val="18"/>
      <color theme="1"/>
      <name val="Calibri"/>
      <family val="2"/>
    </font>
    <font>
      <b/>
      <i/>
      <u/>
      <sz val="26"/>
      <color theme="1"/>
      <name val="Arial Black"/>
      <family val="2"/>
    </font>
    <font>
      <b/>
      <i/>
      <u/>
      <sz val="18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Border="1"/>
    <xf numFmtId="0" fontId="2" fillId="0" borderId="0" xfId="0" applyFont="1" applyBorder="1"/>
    <xf numFmtId="9" fontId="0" fillId="0" borderId="0" xfId="1" applyFont="1" applyBorder="1"/>
    <xf numFmtId="0" fontId="2" fillId="0" borderId="2" xfId="0" applyFont="1" applyBorder="1"/>
    <xf numFmtId="0" fontId="0" fillId="0" borderId="2" xfId="0" applyBorder="1"/>
    <xf numFmtId="14" fontId="0" fillId="0" borderId="2" xfId="0" applyNumberFormat="1" applyBorder="1"/>
    <xf numFmtId="8" fontId="0" fillId="0" borderId="0" xfId="0" applyNumberFormat="1" applyBorder="1"/>
    <xf numFmtId="164" fontId="0" fillId="0" borderId="0" xfId="0" applyNumberFormat="1"/>
    <xf numFmtId="8" fontId="0" fillId="0" borderId="0" xfId="0" applyNumberFormat="1"/>
    <xf numFmtId="164" fontId="0" fillId="2" borderId="0" xfId="0" applyNumberFormat="1" applyFill="1"/>
    <xf numFmtId="0" fontId="0" fillId="2" borderId="0" xfId="0" applyFill="1"/>
    <xf numFmtId="8" fontId="0" fillId="2" borderId="0" xfId="0" applyNumberFormat="1" applyFill="1"/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0" fillId="4" borderId="1" xfId="0" applyFill="1" applyBorder="1"/>
    <xf numFmtId="0" fontId="2" fillId="5" borderId="0" xfId="0" applyFont="1" applyFill="1" applyBorder="1"/>
    <xf numFmtId="0" fontId="0" fillId="5" borderId="0" xfId="0" applyFill="1" applyBorder="1"/>
    <xf numFmtId="0" fontId="6" fillId="4" borderId="1" xfId="0" applyFont="1" applyFill="1" applyBorder="1"/>
    <xf numFmtId="0" fontId="7" fillId="0" borderId="0" xfId="0" applyFont="1"/>
    <xf numFmtId="0" fontId="6" fillId="6" borderId="0" xfId="0" applyFont="1" applyFill="1" applyBorder="1"/>
    <xf numFmtId="0" fontId="8" fillId="0" borderId="0" xfId="0" applyFont="1"/>
    <xf numFmtId="0" fontId="6" fillId="4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8840-520D-40E6-8B27-A922E2FC5477}">
  <dimension ref="A2:I265"/>
  <sheetViews>
    <sheetView showGridLines="0" tabSelected="1" workbookViewId="0">
      <selection activeCell="D12" sqref="D12"/>
    </sheetView>
  </sheetViews>
  <sheetFormatPr defaultRowHeight="15" x14ac:dyDescent="0.25"/>
  <cols>
    <col min="1" max="1" width="1.85546875" style="1" customWidth="1"/>
    <col min="2" max="2" width="14.28515625" customWidth="1"/>
    <col min="3" max="3" width="7.7109375" customWidth="1"/>
    <col min="4" max="5" width="14.85546875" customWidth="1"/>
    <col min="6" max="6" width="13" customWidth="1"/>
    <col min="7" max="7" width="16" customWidth="1"/>
    <col min="8" max="8" width="17.7109375" customWidth="1"/>
  </cols>
  <sheetData>
    <row r="2" spans="2:5" ht="41.25" x14ac:dyDescent="0.8">
      <c r="B2" s="23" t="s">
        <v>14</v>
      </c>
      <c r="C2" s="15"/>
      <c r="D2" s="15"/>
      <c r="E2" s="15"/>
    </row>
    <row r="3" spans="2:5" ht="19.5" customHeight="1" x14ac:dyDescent="0.3">
      <c r="B3" s="16"/>
    </row>
    <row r="4" spans="2:5" ht="23.25" x14ac:dyDescent="0.35">
      <c r="B4" s="21" t="s">
        <v>0</v>
      </c>
    </row>
    <row r="6" spans="2:5" x14ac:dyDescent="0.25">
      <c r="B6" s="20" t="s">
        <v>13</v>
      </c>
      <c r="C6" s="17"/>
      <c r="D6" s="17"/>
    </row>
    <row r="7" spans="2:5" ht="4.5" customHeight="1" x14ac:dyDescent="0.25">
      <c r="B7" s="18"/>
      <c r="C7" s="19"/>
      <c r="D7" s="19"/>
    </row>
    <row r="8" spans="2:5" ht="6" customHeight="1" x14ac:dyDescent="0.25">
      <c r="B8" s="1"/>
      <c r="C8" s="1"/>
      <c r="D8" s="1"/>
    </row>
    <row r="9" spans="2:5" x14ac:dyDescent="0.25">
      <c r="B9" s="2" t="s">
        <v>1</v>
      </c>
      <c r="C9" s="1"/>
      <c r="D9" s="7">
        <v>1000000</v>
      </c>
    </row>
    <row r="10" spans="2:5" x14ac:dyDescent="0.25">
      <c r="B10" s="2" t="s">
        <v>2</v>
      </c>
      <c r="C10" s="1"/>
      <c r="D10" s="3">
        <v>0.05</v>
      </c>
    </row>
    <row r="11" spans="2:5" x14ac:dyDescent="0.25">
      <c r="B11" s="2" t="s">
        <v>3</v>
      </c>
      <c r="C11" s="1"/>
      <c r="D11" s="1">
        <v>20</v>
      </c>
    </row>
    <row r="12" spans="2:5" x14ac:dyDescent="0.25">
      <c r="B12" s="2" t="s">
        <v>4</v>
      </c>
      <c r="C12" s="1"/>
      <c r="D12" s="7">
        <f>-PMT(D10/12,D11*12,D9,0,0)</f>
        <v>6599.5573921665746</v>
      </c>
    </row>
    <row r="13" spans="2:5" x14ac:dyDescent="0.25">
      <c r="B13" s="4" t="s">
        <v>5</v>
      </c>
      <c r="C13" s="5"/>
      <c r="D13" s="6">
        <f ca="1">TODAY()</f>
        <v>46299</v>
      </c>
    </row>
    <row r="17" spans="2:9" ht="23.25" x14ac:dyDescent="0.35">
      <c r="B17" s="21" t="s">
        <v>6</v>
      </c>
      <c r="C17" s="13"/>
    </row>
    <row r="19" spans="2:9" ht="23.25" customHeight="1" x14ac:dyDescent="0.25">
      <c r="B19" s="24" t="s">
        <v>7</v>
      </c>
      <c r="C19" s="24"/>
      <c r="D19" s="24" t="s">
        <v>8</v>
      </c>
      <c r="E19" s="24" t="s">
        <v>10</v>
      </c>
      <c r="F19" s="24" t="s">
        <v>9</v>
      </c>
      <c r="G19" s="24" t="s">
        <v>11</v>
      </c>
      <c r="H19" s="24" t="s">
        <v>12</v>
      </c>
      <c r="I19" s="14"/>
    </row>
    <row r="20" spans="2:9" ht="5.25" customHeight="1" x14ac:dyDescent="0.25">
      <c r="B20" s="22"/>
      <c r="C20" s="22"/>
      <c r="D20" s="22"/>
      <c r="E20" s="22"/>
      <c r="F20" s="22"/>
      <c r="G20" s="22"/>
      <c r="H20" s="22"/>
      <c r="I20" s="14"/>
    </row>
    <row r="22" spans="2:9" x14ac:dyDescent="0.25">
      <c r="B22" s="8">
        <f ca="1">EOMONTH(D13,0)+1</f>
        <v>46327</v>
      </c>
      <c r="D22" s="9">
        <f t="shared" ref="D22:D86" si="0">$D$12</f>
        <v>6599.5573921665746</v>
      </c>
      <c r="E22" s="9">
        <f>MAX(0,D22-$D$12)</f>
        <v>0</v>
      </c>
      <c r="F22" s="9">
        <f>$D$9*($D$10/12)</f>
        <v>4166.666666666667</v>
      </c>
      <c r="G22" s="9">
        <f>D22-F22</f>
        <v>2432.8907254999076</v>
      </c>
      <c r="H22" s="9">
        <f>$D$9-G22</f>
        <v>997567.10927450005</v>
      </c>
    </row>
    <row r="23" spans="2:9" x14ac:dyDescent="0.25">
      <c r="B23" s="8">
        <f ca="1">EOMONTH(B22,0)+1</f>
        <v>46357</v>
      </c>
      <c r="D23" s="9">
        <f t="shared" si="0"/>
        <v>6599.5573921665746</v>
      </c>
      <c r="E23" s="9">
        <f t="shared" ref="E23:E86" si="1">MAX(0,D23-$D$12)</f>
        <v>0</v>
      </c>
      <c r="F23" s="9">
        <f>H22*($D$10/12)</f>
        <v>4156.5296219770835</v>
      </c>
      <c r="G23" s="9">
        <f>D23-F23</f>
        <v>2443.0277701894911</v>
      </c>
      <c r="H23" s="9">
        <f>H22-G23</f>
        <v>995124.0815043106</v>
      </c>
    </row>
    <row r="24" spans="2:9" x14ac:dyDescent="0.25">
      <c r="B24" s="8">
        <f t="shared" ref="B24:B87" ca="1" si="2">EOMONTH(B23,0)+1</f>
        <v>46388</v>
      </c>
      <c r="D24" s="9">
        <f t="shared" si="0"/>
        <v>6599.5573921665746</v>
      </c>
      <c r="E24" s="9">
        <f t="shared" si="1"/>
        <v>0</v>
      </c>
      <c r="F24" s="9">
        <f t="shared" ref="F24:F87" si="3">H23*($D$10/12)</f>
        <v>4146.3503396012939</v>
      </c>
      <c r="G24" s="9">
        <f t="shared" ref="G24:G87" si="4">D24-F24</f>
        <v>2453.2070525652807</v>
      </c>
      <c r="H24" s="9">
        <f t="shared" ref="H24:H87" si="5">H23-G24</f>
        <v>992670.8744517453</v>
      </c>
    </row>
    <row r="25" spans="2:9" x14ac:dyDescent="0.25">
      <c r="B25" s="8">
        <f t="shared" ca="1" si="2"/>
        <v>46419</v>
      </c>
      <c r="D25" s="9">
        <f t="shared" si="0"/>
        <v>6599.5573921665746</v>
      </c>
      <c r="E25" s="9">
        <f t="shared" si="1"/>
        <v>0</v>
      </c>
      <c r="F25" s="9">
        <f t="shared" si="3"/>
        <v>4136.1286435489383</v>
      </c>
      <c r="G25" s="9">
        <f t="shared" si="4"/>
        <v>2463.4287486176363</v>
      </c>
      <c r="H25" s="9">
        <f t="shared" si="5"/>
        <v>990207.44570312765</v>
      </c>
    </row>
    <row r="26" spans="2:9" x14ac:dyDescent="0.25">
      <c r="B26" s="8">
        <f t="shared" ca="1" si="2"/>
        <v>46447</v>
      </c>
      <c r="D26" s="9">
        <f t="shared" si="0"/>
        <v>6599.5573921665746</v>
      </c>
      <c r="E26" s="9">
        <f t="shared" si="1"/>
        <v>0</v>
      </c>
      <c r="F26" s="9">
        <f t="shared" si="3"/>
        <v>4125.864357096365</v>
      </c>
      <c r="G26" s="9">
        <f t="shared" si="4"/>
        <v>2473.6930350702096</v>
      </c>
      <c r="H26" s="9">
        <f t="shared" si="5"/>
        <v>987733.75266805745</v>
      </c>
    </row>
    <row r="27" spans="2:9" x14ac:dyDescent="0.25">
      <c r="B27" s="8">
        <f t="shared" ca="1" si="2"/>
        <v>46478</v>
      </c>
      <c r="D27" s="9">
        <f t="shared" si="0"/>
        <v>6599.5573921665746</v>
      </c>
      <c r="E27" s="9">
        <f t="shared" si="1"/>
        <v>0</v>
      </c>
      <c r="F27" s="9">
        <f t="shared" si="3"/>
        <v>4115.5573027835726</v>
      </c>
      <c r="G27" s="9">
        <f t="shared" si="4"/>
        <v>2484.000089383002</v>
      </c>
      <c r="H27" s="9">
        <f t="shared" si="5"/>
        <v>985249.75257867447</v>
      </c>
    </row>
    <row r="28" spans="2:9" x14ac:dyDescent="0.25">
      <c r="B28" s="8">
        <f t="shared" ca="1" si="2"/>
        <v>46508</v>
      </c>
      <c r="D28" s="9">
        <f t="shared" si="0"/>
        <v>6599.5573921665746</v>
      </c>
      <c r="E28" s="9">
        <f t="shared" si="1"/>
        <v>0</v>
      </c>
      <c r="F28" s="9">
        <f t="shared" si="3"/>
        <v>4105.2073024111432</v>
      </c>
      <c r="G28" s="9">
        <f t="shared" si="4"/>
        <v>2494.3500897554313</v>
      </c>
      <c r="H28" s="9">
        <f t="shared" si="5"/>
        <v>982755.40248891909</v>
      </c>
    </row>
    <row r="29" spans="2:9" x14ac:dyDescent="0.25">
      <c r="B29" s="8">
        <f t="shared" ca="1" si="2"/>
        <v>46539</v>
      </c>
      <c r="D29" s="9">
        <f t="shared" si="0"/>
        <v>6599.5573921665746</v>
      </c>
      <c r="E29" s="9">
        <f t="shared" si="1"/>
        <v>0</v>
      </c>
      <c r="F29" s="9">
        <f t="shared" si="3"/>
        <v>4094.8141770371626</v>
      </c>
      <c r="G29" s="9">
        <f t="shared" si="4"/>
        <v>2504.743215129412</v>
      </c>
      <c r="H29" s="9">
        <f t="shared" si="5"/>
        <v>980250.65927378973</v>
      </c>
    </row>
    <row r="30" spans="2:9" x14ac:dyDescent="0.25">
      <c r="B30" s="8">
        <f t="shared" ca="1" si="2"/>
        <v>46569</v>
      </c>
      <c r="D30" s="9">
        <f t="shared" si="0"/>
        <v>6599.5573921665746</v>
      </c>
      <c r="E30" s="9">
        <f t="shared" si="1"/>
        <v>0</v>
      </c>
      <c r="F30" s="9">
        <f t="shared" si="3"/>
        <v>4084.377746974124</v>
      </c>
      <c r="G30" s="9">
        <f t="shared" si="4"/>
        <v>2515.1796451924506</v>
      </c>
      <c r="H30" s="9">
        <f t="shared" si="5"/>
        <v>977735.47962859727</v>
      </c>
    </row>
    <row r="31" spans="2:9" x14ac:dyDescent="0.25">
      <c r="B31" s="8">
        <f t="shared" ca="1" si="2"/>
        <v>46600</v>
      </c>
      <c r="D31" s="9">
        <f t="shared" si="0"/>
        <v>6599.5573921665746</v>
      </c>
      <c r="E31" s="9">
        <f t="shared" si="1"/>
        <v>0</v>
      </c>
      <c r="F31" s="9">
        <f t="shared" si="3"/>
        <v>4073.8978317858218</v>
      </c>
      <c r="G31" s="9">
        <f t="shared" si="4"/>
        <v>2525.6595603807527</v>
      </c>
      <c r="H31" s="9">
        <f t="shared" si="5"/>
        <v>975209.82006821653</v>
      </c>
    </row>
    <row r="32" spans="2:9" x14ac:dyDescent="0.25">
      <c r="B32" s="8">
        <f t="shared" ca="1" si="2"/>
        <v>46631</v>
      </c>
      <c r="D32" s="9">
        <f t="shared" si="0"/>
        <v>6599.5573921665746</v>
      </c>
      <c r="E32" s="9">
        <f t="shared" si="1"/>
        <v>0</v>
      </c>
      <c r="F32" s="9">
        <f t="shared" si="3"/>
        <v>4063.3742502842356</v>
      </c>
      <c r="G32" s="9">
        <f t="shared" si="4"/>
        <v>2536.183141882339</v>
      </c>
      <c r="H32" s="9">
        <f t="shared" si="5"/>
        <v>972673.63692633423</v>
      </c>
    </row>
    <row r="33" spans="2:8" x14ac:dyDescent="0.25">
      <c r="B33" s="8">
        <f t="shared" ca="1" si="2"/>
        <v>46661</v>
      </c>
      <c r="D33" s="9">
        <f t="shared" si="0"/>
        <v>6599.5573921665746</v>
      </c>
      <c r="E33" s="9">
        <f t="shared" si="1"/>
        <v>0</v>
      </c>
      <c r="F33" s="9">
        <f t="shared" si="3"/>
        <v>4052.8068205263926</v>
      </c>
      <c r="G33" s="9">
        <f t="shared" si="4"/>
        <v>2546.750571640182</v>
      </c>
      <c r="H33" s="9">
        <f t="shared" si="5"/>
        <v>970126.88635469403</v>
      </c>
    </row>
    <row r="34" spans="2:8" x14ac:dyDescent="0.25">
      <c r="B34" s="8">
        <f t="shared" ca="1" si="2"/>
        <v>46692</v>
      </c>
      <c r="D34" s="9">
        <f t="shared" si="0"/>
        <v>6599.5573921665746</v>
      </c>
      <c r="E34" s="9">
        <f t="shared" si="1"/>
        <v>0</v>
      </c>
      <c r="F34" s="9">
        <f t="shared" si="3"/>
        <v>4042.195359811225</v>
      </c>
      <c r="G34" s="9">
        <f t="shared" si="4"/>
        <v>2557.3620323553496</v>
      </c>
      <c r="H34" s="9">
        <f t="shared" si="5"/>
        <v>967569.52432233864</v>
      </c>
    </row>
    <row r="35" spans="2:8" x14ac:dyDescent="0.25">
      <c r="B35" s="8">
        <f t="shared" ca="1" si="2"/>
        <v>46722</v>
      </c>
      <c r="D35" s="9">
        <f t="shared" si="0"/>
        <v>6599.5573921665746</v>
      </c>
      <c r="E35" s="9">
        <f t="shared" si="1"/>
        <v>0</v>
      </c>
      <c r="F35" s="9">
        <f t="shared" si="3"/>
        <v>4031.5396846764111</v>
      </c>
      <c r="G35" s="9">
        <f t="shared" si="4"/>
        <v>2568.0177074901635</v>
      </c>
      <c r="H35" s="9">
        <f t="shared" si="5"/>
        <v>965001.50661484851</v>
      </c>
    </row>
    <row r="36" spans="2:8" x14ac:dyDescent="0.25">
      <c r="B36" s="8">
        <f t="shared" ca="1" si="2"/>
        <v>46753</v>
      </c>
      <c r="D36" s="9">
        <f t="shared" si="0"/>
        <v>6599.5573921665746</v>
      </c>
      <c r="E36" s="9">
        <f t="shared" si="1"/>
        <v>0</v>
      </c>
      <c r="F36" s="9">
        <f t="shared" si="3"/>
        <v>4020.839610895202</v>
      </c>
      <c r="G36" s="9">
        <f t="shared" si="4"/>
        <v>2578.7177812713726</v>
      </c>
      <c r="H36" s="9">
        <f t="shared" si="5"/>
        <v>962422.78883357719</v>
      </c>
    </row>
    <row r="37" spans="2:8" x14ac:dyDescent="0.25">
      <c r="B37" s="8">
        <f t="shared" ca="1" si="2"/>
        <v>46784</v>
      </c>
      <c r="D37" s="9">
        <f t="shared" si="0"/>
        <v>6599.5573921665746</v>
      </c>
      <c r="E37" s="9">
        <f t="shared" si="1"/>
        <v>0</v>
      </c>
      <c r="F37" s="9">
        <f t="shared" si="3"/>
        <v>4010.0949534732381</v>
      </c>
      <c r="G37" s="9">
        <f t="shared" si="4"/>
        <v>2589.4624386933365</v>
      </c>
      <c r="H37" s="9">
        <f t="shared" si="5"/>
        <v>959833.3263948838</v>
      </c>
    </row>
    <row r="38" spans="2:8" x14ac:dyDescent="0.25">
      <c r="B38" s="8">
        <f t="shared" ca="1" si="2"/>
        <v>46813</v>
      </c>
      <c r="D38" s="9">
        <f t="shared" si="0"/>
        <v>6599.5573921665746</v>
      </c>
      <c r="E38" s="9">
        <f t="shared" si="1"/>
        <v>0</v>
      </c>
      <c r="F38" s="9">
        <f t="shared" si="3"/>
        <v>3999.3055266453489</v>
      </c>
      <c r="G38" s="9">
        <f t="shared" si="4"/>
        <v>2600.2518655212257</v>
      </c>
      <c r="H38" s="9">
        <f t="shared" si="5"/>
        <v>957233.07452936261</v>
      </c>
    </row>
    <row r="39" spans="2:8" x14ac:dyDescent="0.25">
      <c r="B39" s="8">
        <f t="shared" ca="1" si="2"/>
        <v>46844</v>
      </c>
      <c r="D39" s="9">
        <f t="shared" si="0"/>
        <v>6599.5573921665746</v>
      </c>
      <c r="E39" s="9">
        <f t="shared" si="1"/>
        <v>0</v>
      </c>
      <c r="F39" s="9">
        <f t="shared" si="3"/>
        <v>3988.4711438723443</v>
      </c>
      <c r="G39" s="9">
        <f t="shared" si="4"/>
        <v>2611.0862482942302</v>
      </c>
      <c r="H39" s="9">
        <f t="shared" si="5"/>
        <v>954621.98828106839</v>
      </c>
    </row>
    <row r="40" spans="2:8" x14ac:dyDescent="0.25">
      <c r="B40" s="8">
        <f t="shared" ca="1" si="2"/>
        <v>46874</v>
      </c>
      <c r="D40" s="9">
        <f t="shared" si="0"/>
        <v>6599.5573921665746</v>
      </c>
      <c r="E40" s="9">
        <f t="shared" si="1"/>
        <v>0</v>
      </c>
      <c r="F40" s="9">
        <f t="shared" si="3"/>
        <v>3977.5916178377847</v>
      </c>
      <c r="G40" s="9">
        <f t="shared" si="4"/>
        <v>2621.9657743287898</v>
      </c>
      <c r="H40" s="9">
        <f t="shared" si="5"/>
        <v>952000.02250673959</v>
      </c>
    </row>
    <row r="41" spans="2:8" x14ac:dyDescent="0.25">
      <c r="B41" s="8">
        <f t="shared" ca="1" si="2"/>
        <v>46905</v>
      </c>
      <c r="D41" s="9">
        <f t="shared" si="0"/>
        <v>6599.5573921665746</v>
      </c>
      <c r="E41" s="9">
        <f t="shared" si="1"/>
        <v>0</v>
      </c>
      <c r="F41" s="9">
        <f t="shared" si="3"/>
        <v>3966.6667604447484</v>
      </c>
      <c r="G41" s="9">
        <f t="shared" si="4"/>
        <v>2632.8906317218261</v>
      </c>
      <c r="H41" s="9">
        <f t="shared" si="5"/>
        <v>949367.13187501777</v>
      </c>
    </row>
    <row r="42" spans="2:8" x14ac:dyDescent="0.25">
      <c r="B42" s="8">
        <f t="shared" ca="1" si="2"/>
        <v>46935</v>
      </c>
      <c r="D42" s="9">
        <f t="shared" si="0"/>
        <v>6599.5573921665746</v>
      </c>
      <c r="E42" s="9">
        <f t="shared" si="1"/>
        <v>0</v>
      </c>
      <c r="F42" s="9">
        <f t="shared" si="3"/>
        <v>3955.696382812574</v>
      </c>
      <c r="G42" s="9">
        <f t="shared" si="4"/>
        <v>2643.8610093540005</v>
      </c>
      <c r="H42" s="9">
        <f t="shared" si="5"/>
        <v>946723.27086566377</v>
      </c>
    </row>
    <row r="43" spans="2:8" x14ac:dyDescent="0.25">
      <c r="B43" s="8">
        <f t="shared" ca="1" si="2"/>
        <v>46966</v>
      </c>
      <c r="D43" s="9">
        <f t="shared" si="0"/>
        <v>6599.5573921665746</v>
      </c>
      <c r="E43" s="9">
        <f t="shared" si="1"/>
        <v>0</v>
      </c>
      <c r="F43" s="9">
        <f t="shared" si="3"/>
        <v>3944.6802952735989</v>
      </c>
      <c r="G43" s="9">
        <f t="shared" si="4"/>
        <v>2654.8770968929757</v>
      </c>
      <c r="H43" s="9">
        <f t="shared" si="5"/>
        <v>944068.39376877074</v>
      </c>
    </row>
    <row r="44" spans="2:8" x14ac:dyDescent="0.25">
      <c r="B44" s="8">
        <f t="shared" ca="1" si="2"/>
        <v>46997</v>
      </c>
      <c r="D44" s="9">
        <f t="shared" si="0"/>
        <v>6599.5573921665746</v>
      </c>
      <c r="E44" s="9">
        <f t="shared" si="1"/>
        <v>0</v>
      </c>
      <c r="F44" s="9">
        <f t="shared" si="3"/>
        <v>3933.618307369878</v>
      </c>
      <c r="G44" s="9">
        <f t="shared" si="4"/>
        <v>2665.9390847966965</v>
      </c>
      <c r="H44" s="9">
        <f t="shared" si="5"/>
        <v>941402.45468397404</v>
      </c>
    </row>
    <row r="45" spans="2:8" x14ac:dyDescent="0.25">
      <c r="B45" s="8">
        <f t="shared" ca="1" si="2"/>
        <v>47027</v>
      </c>
      <c r="D45" s="9">
        <f t="shared" si="0"/>
        <v>6599.5573921665746</v>
      </c>
      <c r="E45" s="9">
        <f t="shared" si="1"/>
        <v>0</v>
      </c>
      <c r="F45" s="9">
        <f t="shared" si="3"/>
        <v>3922.5102278498916</v>
      </c>
      <c r="G45" s="9">
        <f t="shared" si="4"/>
        <v>2677.0471643166829</v>
      </c>
      <c r="H45" s="9">
        <f t="shared" si="5"/>
        <v>938725.4075196574</v>
      </c>
    </row>
    <row r="46" spans="2:8" x14ac:dyDescent="0.25">
      <c r="B46" s="8">
        <f t="shared" ca="1" si="2"/>
        <v>47058</v>
      </c>
      <c r="D46" s="9">
        <f t="shared" si="0"/>
        <v>6599.5573921665746</v>
      </c>
      <c r="E46" s="9">
        <f t="shared" si="1"/>
        <v>0</v>
      </c>
      <c r="F46" s="9">
        <f t="shared" si="3"/>
        <v>3911.3558646652391</v>
      </c>
      <c r="G46" s="9">
        <f t="shared" si="4"/>
        <v>2688.2015275013355</v>
      </c>
      <c r="H46" s="9">
        <f t="shared" si="5"/>
        <v>936037.20599215606</v>
      </c>
    </row>
    <row r="47" spans="2:8" x14ac:dyDescent="0.25">
      <c r="B47" s="8">
        <f t="shared" ca="1" si="2"/>
        <v>47088</v>
      </c>
      <c r="D47" s="9">
        <f t="shared" si="0"/>
        <v>6599.5573921665746</v>
      </c>
      <c r="E47" s="9">
        <f t="shared" si="1"/>
        <v>0</v>
      </c>
      <c r="F47" s="9">
        <f t="shared" si="3"/>
        <v>3900.1550249673169</v>
      </c>
      <c r="G47" s="9">
        <f t="shared" si="4"/>
        <v>2699.4023671992577</v>
      </c>
      <c r="H47" s="9">
        <f t="shared" si="5"/>
        <v>933337.80362495675</v>
      </c>
    </row>
    <row r="48" spans="2:8" x14ac:dyDescent="0.25">
      <c r="B48" s="8">
        <f t="shared" ca="1" si="2"/>
        <v>47119</v>
      </c>
      <c r="D48" s="9">
        <f t="shared" si="0"/>
        <v>6599.5573921665746</v>
      </c>
      <c r="E48" s="9">
        <f t="shared" si="1"/>
        <v>0</v>
      </c>
      <c r="F48" s="9">
        <f t="shared" si="3"/>
        <v>3888.9075151039865</v>
      </c>
      <c r="G48" s="9">
        <f t="shared" si="4"/>
        <v>2710.6498770625881</v>
      </c>
      <c r="H48" s="9">
        <f t="shared" si="5"/>
        <v>930627.15374789422</v>
      </c>
    </row>
    <row r="49" spans="2:8" x14ac:dyDescent="0.25">
      <c r="B49" s="8">
        <f t="shared" ca="1" si="2"/>
        <v>47150</v>
      </c>
      <c r="D49" s="9">
        <f t="shared" si="0"/>
        <v>6599.5573921665746</v>
      </c>
      <c r="E49" s="9">
        <f t="shared" si="1"/>
        <v>0</v>
      </c>
      <c r="F49" s="9">
        <f t="shared" si="3"/>
        <v>3877.6131406162258</v>
      </c>
      <c r="G49" s="9">
        <f t="shared" si="4"/>
        <v>2721.9442515503488</v>
      </c>
      <c r="H49" s="9">
        <f t="shared" si="5"/>
        <v>927905.20949634386</v>
      </c>
    </row>
    <row r="50" spans="2:8" x14ac:dyDescent="0.25">
      <c r="B50" s="8">
        <f t="shared" ca="1" si="2"/>
        <v>47178</v>
      </c>
      <c r="D50" s="9">
        <f t="shared" si="0"/>
        <v>6599.5573921665746</v>
      </c>
      <c r="E50" s="9">
        <f t="shared" si="1"/>
        <v>0</v>
      </c>
      <c r="F50" s="9">
        <f t="shared" si="3"/>
        <v>3866.271706234766</v>
      </c>
      <c r="G50" s="9">
        <f t="shared" si="4"/>
        <v>2733.2856859318085</v>
      </c>
      <c r="H50" s="9">
        <f t="shared" si="5"/>
        <v>925171.92381041206</v>
      </c>
    </row>
    <row r="51" spans="2:8" x14ac:dyDescent="0.25">
      <c r="B51" s="8">
        <f t="shared" ca="1" si="2"/>
        <v>47209</v>
      </c>
      <c r="D51" s="9">
        <f t="shared" si="0"/>
        <v>6599.5573921665746</v>
      </c>
      <c r="E51" s="9">
        <f t="shared" si="1"/>
        <v>0</v>
      </c>
      <c r="F51" s="9">
        <f t="shared" si="3"/>
        <v>3854.8830158767169</v>
      </c>
      <c r="G51" s="9">
        <f t="shared" si="4"/>
        <v>2744.6743762898577</v>
      </c>
      <c r="H51" s="9">
        <f t="shared" si="5"/>
        <v>922427.24943412223</v>
      </c>
    </row>
    <row r="52" spans="2:8" x14ac:dyDescent="0.25">
      <c r="B52" s="8">
        <f t="shared" ca="1" si="2"/>
        <v>47239</v>
      </c>
      <c r="D52" s="9">
        <f t="shared" si="0"/>
        <v>6599.5573921665746</v>
      </c>
      <c r="E52" s="9">
        <f t="shared" si="1"/>
        <v>0</v>
      </c>
      <c r="F52" s="9">
        <f t="shared" si="3"/>
        <v>3843.446872642176</v>
      </c>
      <c r="G52" s="9">
        <f t="shared" si="4"/>
        <v>2756.1105195243986</v>
      </c>
      <c r="H52" s="9">
        <f t="shared" si="5"/>
        <v>919671.1389145978</v>
      </c>
    </row>
    <row r="53" spans="2:8" x14ac:dyDescent="0.25">
      <c r="B53" s="8">
        <f t="shared" ca="1" si="2"/>
        <v>47270</v>
      </c>
      <c r="D53" s="9">
        <f t="shared" si="0"/>
        <v>6599.5573921665746</v>
      </c>
      <c r="E53" s="9">
        <f t="shared" si="1"/>
        <v>0</v>
      </c>
      <c r="F53" s="9">
        <f t="shared" si="3"/>
        <v>3831.9630788108243</v>
      </c>
      <c r="G53" s="9">
        <f t="shared" si="4"/>
        <v>2767.5943133557503</v>
      </c>
      <c r="H53" s="9">
        <f t="shared" si="5"/>
        <v>916903.54460124206</v>
      </c>
    </row>
    <row r="54" spans="2:8" x14ac:dyDescent="0.25">
      <c r="B54" s="8">
        <f t="shared" ca="1" si="2"/>
        <v>47300</v>
      </c>
      <c r="D54" s="9">
        <f t="shared" si="0"/>
        <v>6599.5573921665746</v>
      </c>
      <c r="E54" s="9">
        <f t="shared" si="1"/>
        <v>0</v>
      </c>
      <c r="F54" s="9">
        <f t="shared" si="3"/>
        <v>3820.4314358385086</v>
      </c>
      <c r="G54" s="9">
        <f t="shared" si="4"/>
        <v>2779.125956328066</v>
      </c>
      <c r="H54" s="9">
        <f t="shared" si="5"/>
        <v>914124.41864491394</v>
      </c>
    </row>
    <row r="55" spans="2:8" x14ac:dyDescent="0.25">
      <c r="B55" s="8">
        <f t="shared" ca="1" si="2"/>
        <v>47331</v>
      </c>
      <c r="D55" s="9">
        <f t="shared" si="0"/>
        <v>6599.5573921665746</v>
      </c>
      <c r="E55" s="9">
        <f t="shared" si="1"/>
        <v>0</v>
      </c>
      <c r="F55" s="9">
        <f t="shared" si="3"/>
        <v>3808.851744353808</v>
      </c>
      <c r="G55" s="9">
        <f t="shared" si="4"/>
        <v>2790.7056478127665</v>
      </c>
      <c r="H55" s="9">
        <f t="shared" si="5"/>
        <v>911333.71299710113</v>
      </c>
    </row>
    <row r="56" spans="2:8" x14ac:dyDescent="0.25">
      <c r="B56" s="8">
        <f t="shared" ca="1" si="2"/>
        <v>47362</v>
      </c>
      <c r="D56" s="9">
        <f t="shared" si="0"/>
        <v>6599.5573921665746</v>
      </c>
      <c r="E56" s="9">
        <f t="shared" si="1"/>
        <v>0</v>
      </c>
      <c r="F56" s="9">
        <f t="shared" si="3"/>
        <v>3797.2238041545879</v>
      </c>
      <c r="G56" s="9">
        <f t="shared" si="4"/>
        <v>2802.3335880119866</v>
      </c>
      <c r="H56" s="9">
        <f t="shared" si="5"/>
        <v>908531.3794090891</v>
      </c>
    </row>
    <row r="57" spans="2:8" x14ac:dyDescent="0.25">
      <c r="B57" s="8">
        <f t="shared" ca="1" si="2"/>
        <v>47392</v>
      </c>
      <c r="D57" s="9">
        <f t="shared" si="0"/>
        <v>6599.5573921665746</v>
      </c>
      <c r="E57" s="9">
        <f t="shared" si="1"/>
        <v>0</v>
      </c>
      <c r="F57" s="9">
        <f t="shared" si="3"/>
        <v>3785.5474142045377</v>
      </c>
      <c r="G57" s="9">
        <f t="shared" si="4"/>
        <v>2814.0099779620368</v>
      </c>
      <c r="H57" s="9">
        <f t="shared" si="5"/>
        <v>905717.3694311271</v>
      </c>
    </row>
    <row r="58" spans="2:8" x14ac:dyDescent="0.25">
      <c r="B58" s="8">
        <f t="shared" ca="1" si="2"/>
        <v>47423</v>
      </c>
      <c r="D58" s="9">
        <f t="shared" si="0"/>
        <v>6599.5573921665746</v>
      </c>
      <c r="E58" s="9">
        <f t="shared" si="1"/>
        <v>0</v>
      </c>
      <c r="F58" s="9">
        <f t="shared" si="3"/>
        <v>3773.822372629696</v>
      </c>
      <c r="G58" s="9">
        <f t="shared" si="4"/>
        <v>2825.7350195368786</v>
      </c>
      <c r="H58" s="9">
        <f t="shared" si="5"/>
        <v>902891.63441159017</v>
      </c>
    </row>
    <row r="59" spans="2:8" x14ac:dyDescent="0.25">
      <c r="B59" s="8">
        <f t="shared" ca="1" si="2"/>
        <v>47453</v>
      </c>
      <c r="D59" s="9">
        <f t="shared" si="0"/>
        <v>6599.5573921665746</v>
      </c>
      <c r="E59" s="9">
        <f t="shared" si="1"/>
        <v>0</v>
      </c>
      <c r="F59" s="9">
        <f t="shared" si="3"/>
        <v>3762.0484767149592</v>
      </c>
      <c r="G59" s="9">
        <f t="shared" si="4"/>
        <v>2837.5089154516154</v>
      </c>
      <c r="H59" s="9">
        <f t="shared" si="5"/>
        <v>900054.12549613859</v>
      </c>
    </row>
    <row r="60" spans="2:8" x14ac:dyDescent="0.25">
      <c r="B60" s="8">
        <f t="shared" ca="1" si="2"/>
        <v>47484</v>
      </c>
      <c r="D60" s="9">
        <f t="shared" si="0"/>
        <v>6599.5573921665746</v>
      </c>
      <c r="E60" s="9">
        <f t="shared" si="1"/>
        <v>0</v>
      </c>
      <c r="F60" s="9">
        <f t="shared" si="3"/>
        <v>3750.2255229005773</v>
      </c>
      <c r="G60" s="9">
        <f t="shared" si="4"/>
        <v>2849.3318692659973</v>
      </c>
      <c r="H60" s="9">
        <f t="shared" si="5"/>
        <v>897204.79362687259</v>
      </c>
    </row>
    <row r="61" spans="2:8" x14ac:dyDescent="0.25">
      <c r="B61" s="8">
        <f t="shared" ca="1" si="2"/>
        <v>47515</v>
      </c>
      <c r="D61" s="9">
        <f t="shared" si="0"/>
        <v>6599.5573921665746</v>
      </c>
      <c r="E61" s="9">
        <f t="shared" si="1"/>
        <v>0</v>
      </c>
      <c r="F61" s="9">
        <f t="shared" si="3"/>
        <v>3738.3533067786357</v>
      </c>
      <c r="G61" s="9">
        <f t="shared" si="4"/>
        <v>2861.2040853879389</v>
      </c>
      <c r="H61" s="9">
        <f t="shared" si="5"/>
        <v>894343.5895414846</v>
      </c>
    </row>
    <row r="62" spans="2:8" x14ac:dyDescent="0.25">
      <c r="B62" s="8">
        <f t="shared" ca="1" si="2"/>
        <v>47543</v>
      </c>
      <c r="D62" s="9">
        <f t="shared" si="0"/>
        <v>6599.5573921665746</v>
      </c>
      <c r="E62" s="9">
        <f t="shared" si="1"/>
        <v>0</v>
      </c>
      <c r="F62" s="9">
        <f t="shared" si="3"/>
        <v>3726.4316230895192</v>
      </c>
      <c r="G62" s="9">
        <f t="shared" si="4"/>
        <v>2873.1257690770553</v>
      </c>
      <c r="H62" s="9">
        <f t="shared" si="5"/>
        <v>891470.4637724075</v>
      </c>
    </row>
    <row r="63" spans="2:8" x14ac:dyDescent="0.25">
      <c r="B63" s="8">
        <f t="shared" ca="1" si="2"/>
        <v>47574</v>
      </c>
      <c r="D63" s="9">
        <f t="shared" si="0"/>
        <v>6599.5573921665746</v>
      </c>
      <c r="E63" s="9">
        <f t="shared" si="1"/>
        <v>0</v>
      </c>
      <c r="F63" s="9">
        <f t="shared" si="3"/>
        <v>3714.4602657183646</v>
      </c>
      <c r="G63" s="9">
        <f t="shared" si="4"/>
        <v>2885.09712644821</v>
      </c>
      <c r="H63" s="9">
        <f t="shared" si="5"/>
        <v>888585.36664595932</v>
      </c>
    </row>
    <row r="64" spans="2:8" x14ac:dyDescent="0.25">
      <c r="B64" s="8">
        <f t="shared" ca="1" si="2"/>
        <v>47604</v>
      </c>
      <c r="D64" s="9">
        <f t="shared" si="0"/>
        <v>6599.5573921665746</v>
      </c>
      <c r="E64" s="9">
        <f t="shared" si="1"/>
        <v>0</v>
      </c>
      <c r="F64" s="9">
        <f t="shared" si="3"/>
        <v>3702.4390276914969</v>
      </c>
      <c r="G64" s="9">
        <f t="shared" si="4"/>
        <v>2897.1183644750777</v>
      </c>
      <c r="H64" s="9">
        <f t="shared" si="5"/>
        <v>885688.24828148424</v>
      </c>
    </row>
    <row r="65" spans="2:8" x14ac:dyDescent="0.25">
      <c r="B65" s="8">
        <f t="shared" ca="1" si="2"/>
        <v>47635</v>
      </c>
      <c r="D65" s="9">
        <f t="shared" si="0"/>
        <v>6599.5573921665746</v>
      </c>
      <c r="E65" s="9">
        <f t="shared" si="1"/>
        <v>0</v>
      </c>
      <c r="F65" s="9">
        <f t="shared" si="3"/>
        <v>3690.367701172851</v>
      </c>
      <c r="G65" s="9">
        <f t="shared" si="4"/>
        <v>2909.1896909937236</v>
      </c>
      <c r="H65" s="9">
        <f t="shared" si="5"/>
        <v>882779.05859049049</v>
      </c>
    </row>
    <row r="66" spans="2:8" x14ac:dyDescent="0.25">
      <c r="B66" s="8">
        <f t="shared" ca="1" si="2"/>
        <v>47665</v>
      </c>
      <c r="D66" s="9">
        <f t="shared" si="0"/>
        <v>6599.5573921665746</v>
      </c>
      <c r="E66" s="9">
        <f t="shared" si="1"/>
        <v>0</v>
      </c>
      <c r="F66" s="9">
        <f t="shared" si="3"/>
        <v>3678.2460774603769</v>
      </c>
      <c r="G66" s="9">
        <f t="shared" si="4"/>
        <v>2921.3113147061977</v>
      </c>
      <c r="H66" s="9">
        <f t="shared" si="5"/>
        <v>879857.74727578426</v>
      </c>
    </row>
    <row r="67" spans="2:8" x14ac:dyDescent="0.25">
      <c r="B67" s="8">
        <f t="shared" ca="1" si="2"/>
        <v>47696</v>
      </c>
      <c r="D67" s="9">
        <f t="shared" si="0"/>
        <v>6599.5573921665746</v>
      </c>
      <c r="E67" s="9">
        <f t="shared" si="1"/>
        <v>0</v>
      </c>
      <c r="F67" s="9">
        <f t="shared" si="3"/>
        <v>3666.0739469824343</v>
      </c>
      <c r="G67" s="9">
        <f t="shared" si="4"/>
        <v>2933.4834451841402</v>
      </c>
      <c r="H67" s="9">
        <f t="shared" si="5"/>
        <v>876924.26383060007</v>
      </c>
    </row>
    <row r="68" spans="2:8" x14ac:dyDescent="0.25">
      <c r="B68" s="8">
        <f t="shared" ca="1" si="2"/>
        <v>47727</v>
      </c>
      <c r="D68" s="9">
        <f t="shared" si="0"/>
        <v>6599.5573921665746</v>
      </c>
      <c r="E68" s="9">
        <f t="shared" si="1"/>
        <v>0</v>
      </c>
      <c r="F68" s="9">
        <f t="shared" si="3"/>
        <v>3653.8510992941669</v>
      </c>
      <c r="G68" s="9">
        <f t="shared" si="4"/>
        <v>2945.7062928724076</v>
      </c>
      <c r="H68" s="9">
        <f t="shared" si="5"/>
        <v>873978.55753772764</v>
      </c>
    </row>
    <row r="69" spans="2:8" x14ac:dyDescent="0.25">
      <c r="B69" s="8">
        <f t="shared" ca="1" si="2"/>
        <v>47757</v>
      </c>
      <c r="D69" s="9">
        <f t="shared" si="0"/>
        <v>6599.5573921665746</v>
      </c>
      <c r="E69" s="9">
        <f t="shared" si="1"/>
        <v>0</v>
      </c>
      <c r="F69" s="9">
        <f t="shared" si="3"/>
        <v>3641.577323073865</v>
      </c>
      <c r="G69" s="9">
        <f t="shared" si="4"/>
        <v>2957.9800690927095</v>
      </c>
      <c r="H69" s="9">
        <f t="shared" si="5"/>
        <v>871020.57746863493</v>
      </c>
    </row>
    <row r="70" spans="2:8" x14ac:dyDescent="0.25">
      <c r="B70" s="8">
        <f t="shared" ca="1" si="2"/>
        <v>47788</v>
      </c>
      <c r="D70" s="9">
        <f t="shared" si="0"/>
        <v>6599.5573921665746</v>
      </c>
      <c r="E70" s="9">
        <f t="shared" si="1"/>
        <v>0</v>
      </c>
      <c r="F70" s="9">
        <f t="shared" si="3"/>
        <v>3629.2524061193121</v>
      </c>
      <c r="G70" s="9">
        <f t="shared" si="4"/>
        <v>2970.3049860472624</v>
      </c>
      <c r="H70" s="9">
        <f t="shared" si="5"/>
        <v>868050.27248258772</v>
      </c>
    </row>
    <row r="71" spans="2:8" x14ac:dyDescent="0.25">
      <c r="B71" s="8">
        <f t="shared" ca="1" si="2"/>
        <v>47818</v>
      </c>
      <c r="D71" s="9">
        <f t="shared" si="0"/>
        <v>6599.5573921665746</v>
      </c>
      <c r="E71" s="9">
        <f t="shared" si="1"/>
        <v>0</v>
      </c>
      <c r="F71" s="9">
        <f t="shared" si="3"/>
        <v>3616.8761353441155</v>
      </c>
      <c r="G71" s="9">
        <f t="shared" si="4"/>
        <v>2982.6812568224591</v>
      </c>
      <c r="H71" s="9">
        <f t="shared" si="5"/>
        <v>865067.5912257653</v>
      </c>
    </row>
    <row r="72" spans="2:8" x14ac:dyDescent="0.25">
      <c r="B72" s="8">
        <f t="shared" ca="1" si="2"/>
        <v>47849</v>
      </c>
      <c r="D72" s="9">
        <f t="shared" si="0"/>
        <v>6599.5573921665746</v>
      </c>
      <c r="E72" s="9">
        <f t="shared" si="1"/>
        <v>0</v>
      </c>
      <c r="F72" s="9">
        <f t="shared" si="3"/>
        <v>3604.4482967740219</v>
      </c>
      <c r="G72" s="9">
        <f t="shared" si="4"/>
        <v>2995.1090953925527</v>
      </c>
      <c r="H72" s="9">
        <f t="shared" si="5"/>
        <v>862072.48213037278</v>
      </c>
    </row>
    <row r="73" spans="2:8" x14ac:dyDescent="0.25">
      <c r="B73" s="8">
        <f t="shared" ca="1" si="2"/>
        <v>47880</v>
      </c>
      <c r="D73" s="9">
        <f t="shared" si="0"/>
        <v>6599.5573921665746</v>
      </c>
      <c r="E73" s="9">
        <f t="shared" si="1"/>
        <v>0</v>
      </c>
      <c r="F73" s="9">
        <f t="shared" si="3"/>
        <v>3591.9686755432199</v>
      </c>
      <c r="G73" s="9">
        <f t="shared" si="4"/>
        <v>3007.5887166233547</v>
      </c>
      <c r="H73" s="9">
        <f t="shared" si="5"/>
        <v>859064.89341374941</v>
      </c>
    </row>
    <row r="74" spans="2:8" x14ac:dyDescent="0.25">
      <c r="B74" s="8">
        <f t="shared" ca="1" si="2"/>
        <v>47908</v>
      </c>
      <c r="D74" s="9">
        <f t="shared" si="0"/>
        <v>6599.5573921665746</v>
      </c>
      <c r="E74" s="9">
        <f t="shared" si="1"/>
        <v>0</v>
      </c>
      <c r="F74" s="9">
        <f t="shared" si="3"/>
        <v>3579.4370558906226</v>
      </c>
      <c r="G74" s="9">
        <f t="shared" si="4"/>
        <v>3020.120336275952</v>
      </c>
      <c r="H74" s="9">
        <f t="shared" si="5"/>
        <v>856044.77307747351</v>
      </c>
    </row>
    <row r="75" spans="2:8" x14ac:dyDescent="0.25">
      <c r="B75" s="8">
        <f t="shared" ca="1" si="2"/>
        <v>47939</v>
      </c>
      <c r="D75" s="9">
        <f t="shared" si="0"/>
        <v>6599.5573921665746</v>
      </c>
      <c r="E75" s="9">
        <f t="shared" si="1"/>
        <v>0</v>
      </c>
      <c r="F75" s="9">
        <f t="shared" si="3"/>
        <v>3566.8532211561396</v>
      </c>
      <c r="G75" s="9">
        <f t="shared" si="4"/>
        <v>3032.7041710104349</v>
      </c>
      <c r="H75" s="9">
        <f t="shared" si="5"/>
        <v>853012.0689064631</v>
      </c>
    </row>
    <row r="76" spans="2:8" x14ac:dyDescent="0.25">
      <c r="B76" s="8">
        <f t="shared" ca="1" si="2"/>
        <v>47969</v>
      </c>
      <c r="D76" s="9">
        <f t="shared" si="0"/>
        <v>6599.5573921665746</v>
      </c>
      <c r="E76" s="9">
        <f t="shared" si="1"/>
        <v>0</v>
      </c>
      <c r="F76" s="9">
        <f t="shared" si="3"/>
        <v>3554.2169537769296</v>
      </c>
      <c r="G76" s="9">
        <f t="shared" si="4"/>
        <v>3045.340438389645</v>
      </c>
      <c r="H76" s="9">
        <f t="shared" si="5"/>
        <v>849966.72846807342</v>
      </c>
    </row>
    <row r="77" spans="2:8" x14ac:dyDescent="0.25">
      <c r="B77" s="8">
        <f t="shared" ca="1" si="2"/>
        <v>48000</v>
      </c>
      <c r="D77" s="9">
        <f t="shared" si="0"/>
        <v>6599.5573921665746</v>
      </c>
      <c r="E77" s="9">
        <f t="shared" si="1"/>
        <v>0</v>
      </c>
      <c r="F77" s="9">
        <f t="shared" si="3"/>
        <v>3541.5280352836394</v>
      </c>
      <c r="G77" s="9">
        <f t="shared" si="4"/>
        <v>3058.0293568829352</v>
      </c>
      <c r="H77" s="9">
        <f t="shared" si="5"/>
        <v>846908.69911119051</v>
      </c>
    </row>
    <row r="78" spans="2:8" x14ac:dyDescent="0.25">
      <c r="B78" s="8">
        <f t="shared" ca="1" si="2"/>
        <v>48030</v>
      </c>
      <c r="D78" s="9">
        <f t="shared" si="0"/>
        <v>6599.5573921665746</v>
      </c>
      <c r="E78" s="9">
        <f t="shared" si="1"/>
        <v>0</v>
      </c>
      <c r="F78" s="9">
        <f t="shared" si="3"/>
        <v>3528.7862462966273</v>
      </c>
      <c r="G78" s="9">
        <f t="shared" si="4"/>
        <v>3070.7711458699473</v>
      </c>
      <c r="H78" s="9">
        <f t="shared" si="5"/>
        <v>843837.92796532053</v>
      </c>
    </row>
    <row r="79" spans="2:8" x14ac:dyDescent="0.25">
      <c r="B79" s="8">
        <f t="shared" ca="1" si="2"/>
        <v>48061</v>
      </c>
      <c r="D79" s="9">
        <f t="shared" si="0"/>
        <v>6599.5573921665746</v>
      </c>
      <c r="E79" s="9">
        <f t="shared" si="1"/>
        <v>0</v>
      </c>
      <c r="F79" s="9">
        <f t="shared" si="3"/>
        <v>3515.9913665221688</v>
      </c>
      <c r="G79" s="9">
        <f t="shared" si="4"/>
        <v>3083.5660256444057</v>
      </c>
      <c r="H79" s="9">
        <f t="shared" si="5"/>
        <v>840754.36193967611</v>
      </c>
    </row>
    <row r="80" spans="2:8" x14ac:dyDescent="0.25">
      <c r="B80" s="8">
        <f t="shared" ca="1" si="2"/>
        <v>48092</v>
      </c>
      <c r="D80" s="9">
        <f t="shared" si="0"/>
        <v>6599.5573921665746</v>
      </c>
      <c r="E80" s="9">
        <f t="shared" si="1"/>
        <v>0</v>
      </c>
      <c r="F80" s="9">
        <f t="shared" si="3"/>
        <v>3503.1431747486504</v>
      </c>
      <c r="G80" s="9">
        <f t="shared" si="4"/>
        <v>3096.4142174179242</v>
      </c>
      <c r="H80" s="9">
        <f t="shared" si="5"/>
        <v>837657.94772225816</v>
      </c>
    </row>
    <row r="81" spans="2:8" x14ac:dyDescent="0.25">
      <c r="B81" s="8">
        <f t="shared" ca="1" si="2"/>
        <v>48122</v>
      </c>
      <c r="D81" s="9">
        <f t="shared" si="0"/>
        <v>6599.5573921665746</v>
      </c>
      <c r="E81" s="9">
        <f t="shared" si="1"/>
        <v>0</v>
      </c>
      <c r="F81" s="9">
        <f t="shared" si="3"/>
        <v>3490.2414488427421</v>
      </c>
      <c r="G81" s="9">
        <f t="shared" si="4"/>
        <v>3109.3159433238325</v>
      </c>
      <c r="H81" s="9">
        <f t="shared" si="5"/>
        <v>834548.63177893427</v>
      </c>
    </row>
    <row r="82" spans="2:8" x14ac:dyDescent="0.25">
      <c r="B82" s="8">
        <f t="shared" ca="1" si="2"/>
        <v>48153</v>
      </c>
      <c r="D82" s="9">
        <f t="shared" si="0"/>
        <v>6599.5573921665746</v>
      </c>
      <c r="E82" s="9">
        <f t="shared" si="1"/>
        <v>0</v>
      </c>
      <c r="F82" s="9">
        <f t="shared" si="3"/>
        <v>3477.2859657455592</v>
      </c>
      <c r="G82" s="9">
        <f t="shared" si="4"/>
        <v>3122.2714264210153</v>
      </c>
      <c r="H82" s="9">
        <f t="shared" si="5"/>
        <v>831426.36035251326</v>
      </c>
    </row>
    <row r="83" spans="2:8" x14ac:dyDescent="0.25">
      <c r="B83" s="8">
        <f t="shared" ca="1" si="2"/>
        <v>48183</v>
      </c>
      <c r="D83" s="9">
        <f t="shared" si="0"/>
        <v>6599.5573921665746</v>
      </c>
      <c r="E83" s="9">
        <f t="shared" si="1"/>
        <v>0</v>
      </c>
      <c r="F83" s="9">
        <f t="shared" si="3"/>
        <v>3464.2765014688052</v>
      </c>
      <c r="G83" s="9">
        <f t="shared" si="4"/>
        <v>3135.2808906977693</v>
      </c>
      <c r="H83" s="9">
        <f t="shared" si="5"/>
        <v>828291.07946181553</v>
      </c>
    </row>
    <row r="84" spans="2:8" x14ac:dyDescent="0.25">
      <c r="B84" s="8">
        <f t="shared" ca="1" si="2"/>
        <v>48214</v>
      </c>
      <c r="D84" s="9">
        <f t="shared" si="0"/>
        <v>6599.5573921665746</v>
      </c>
      <c r="E84" s="9">
        <f t="shared" si="1"/>
        <v>0</v>
      </c>
      <c r="F84" s="9">
        <f t="shared" si="3"/>
        <v>3451.2128310908979</v>
      </c>
      <c r="G84" s="9">
        <f t="shared" si="4"/>
        <v>3148.3445610756767</v>
      </c>
      <c r="H84" s="9">
        <f t="shared" si="5"/>
        <v>825142.73490073986</v>
      </c>
    </row>
    <row r="85" spans="2:8" x14ac:dyDescent="0.25">
      <c r="B85" s="8">
        <f t="shared" ca="1" si="2"/>
        <v>48245</v>
      </c>
      <c r="D85" s="9">
        <f t="shared" si="0"/>
        <v>6599.5573921665746</v>
      </c>
      <c r="E85" s="9">
        <f t="shared" si="1"/>
        <v>0</v>
      </c>
      <c r="F85" s="9">
        <f t="shared" si="3"/>
        <v>3438.0947287530826</v>
      </c>
      <c r="G85" s="9">
        <f t="shared" si="4"/>
        <v>3161.462663413492</v>
      </c>
      <c r="H85" s="9">
        <f t="shared" si="5"/>
        <v>821981.27223732637</v>
      </c>
    </row>
    <row r="86" spans="2:8" x14ac:dyDescent="0.25">
      <c r="B86" s="8">
        <f t="shared" ca="1" si="2"/>
        <v>48274</v>
      </c>
      <c r="D86" s="9">
        <f t="shared" si="0"/>
        <v>6599.5573921665746</v>
      </c>
      <c r="E86" s="9">
        <f t="shared" si="1"/>
        <v>0</v>
      </c>
      <c r="F86" s="9">
        <f t="shared" si="3"/>
        <v>3424.9219676555263</v>
      </c>
      <c r="G86" s="9">
        <f t="shared" si="4"/>
        <v>3174.6354245110483</v>
      </c>
      <c r="H86" s="9">
        <f t="shared" si="5"/>
        <v>818806.63681281533</v>
      </c>
    </row>
    <row r="87" spans="2:8" x14ac:dyDescent="0.25">
      <c r="B87" s="8">
        <f t="shared" ca="1" si="2"/>
        <v>48305</v>
      </c>
      <c r="D87" s="9">
        <f t="shared" ref="D87:D150" si="6">$D$12</f>
        <v>6599.5573921665746</v>
      </c>
      <c r="E87" s="9">
        <f t="shared" ref="E87:E150" si="7">MAX(0,D87-$D$12)</f>
        <v>0</v>
      </c>
      <c r="F87" s="9">
        <f t="shared" si="3"/>
        <v>3411.694320053397</v>
      </c>
      <c r="G87" s="9">
        <f t="shared" si="4"/>
        <v>3187.8630721131776</v>
      </c>
      <c r="H87" s="9">
        <f t="shared" si="5"/>
        <v>815618.77374070219</v>
      </c>
    </row>
    <row r="88" spans="2:8" x14ac:dyDescent="0.25">
      <c r="B88" s="8">
        <f t="shared" ref="B88:B151" ca="1" si="8">EOMONTH(B87,0)+1</f>
        <v>48335</v>
      </c>
      <c r="D88" s="9">
        <f t="shared" si="6"/>
        <v>6599.5573921665746</v>
      </c>
      <c r="E88" s="9">
        <f t="shared" si="7"/>
        <v>0</v>
      </c>
      <c r="F88" s="9">
        <f t="shared" ref="F88:F151" si="9">H87*($D$10/12)</f>
        <v>3398.4115572529258</v>
      </c>
      <c r="G88" s="9">
        <f t="shared" ref="G88:G151" si="10">D88-F88</f>
        <v>3201.1458349136487</v>
      </c>
      <c r="H88" s="9">
        <f t="shared" ref="H88:H151" si="11">H87-G88</f>
        <v>812417.6279057886</v>
      </c>
    </row>
    <row r="89" spans="2:8" x14ac:dyDescent="0.25">
      <c r="B89" s="8">
        <f t="shared" ca="1" si="8"/>
        <v>48366</v>
      </c>
      <c r="D89" s="9">
        <f t="shared" si="6"/>
        <v>6599.5573921665746</v>
      </c>
      <c r="E89" s="9">
        <f t="shared" si="7"/>
        <v>0</v>
      </c>
      <c r="F89" s="9">
        <f t="shared" si="9"/>
        <v>3385.0734496074524</v>
      </c>
      <c r="G89" s="9">
        <f t="shared" si="10"/>
        <v>3214.4839425591222</v>
      </c>
      <c r="H89" s="9">
        <f t="shared" si="11"/>
        <v>809203.14396322949</v>
      </c>
    </row>
    <row r="90" spans="2:8" x14ac:dyDescent="0.25">
      <c r="B90" s="8">
        <f t="shared" ca="1" si="8"/>
        <v>48396</v>
      </c>
      <c r="D90" s="9">
        <f t="shared" si="6"/>
        <v>6599.5573921665746</v>
      </c>
      <c r="E90" s="9">
        <f t="shared" si="7"/>
        <v>0</v>
      </c>
      <c r="F90" s="9">
        <f t="shared" si="9"/>
        <v>3371.6797665134563</v>
      </c>
      <c r="G90" s="9">
        <f t="shared" si="10"/>
        <v>3227.8776256531182</v>
      </c>
      <c r="H90" s="9">
        <f t="shared" si="11"/>
        <v>805975.26633757632</v>
      </c>
    </row>
    <row r="91" spans="2:8" x14ac:dyDescent="0.25">
      <c r="B91" s="8">
        <f t="shared" ca="1" si="8"/>
        <v>48427</v>
      </c>
      <c r="D91" s="9">
        <f t="shared" si="6"/>
        <v>6599.5573921665746</v>
      </c>
      <c r="E91" s="9">
        <f t="shared" si="7"/>
        <v>0</v>
      </c>
      <c r="F91" s="9">
        <f t="shared" si="9"/>
        <v>3358.230276406568</v>
      </c>
      <c r="G91" s="9">
        <f t="shared" si="10"/>
        <v>3241.3271157600066</v>
      </c>
      <c r="H91" s="9">
        <f t="shared" si="11"/>
        <v>802733.93922181637</v>
      </c>
    </row>
    <row r="92" spans="2:8" x14ac:dyDescent="0.25">
      <c r="B92" s="8">
        <f t="shared" ca="1" si="8"/>
        <v>48458</v>
      </c>
      <c r="D92" s="9">
        <f t="shared" si="6"/>
        <v>6599.5573921665746</v>
      </c>
      <c r="E92" s="9">
        <f t="shared" si="7"/>
        <v>0</v>
      </c>
      <c r="F92" s="9">
        <f t="shared" si="9"/>
        <v>3344.724746757568</v>
      </c>
      <c r="G92" s="9">
        <f t="shared" si="10"/>
        <v>3254.8326454090065</v>
      </c>
      <c r="H92" s="9">
        <f t="shared" si="11"/>
        <v>799479.10657640733</v>
      </c>
    </row>
    <row r="93" spans="2:8" x14ac:dyDescent="0.25">
      <c r="B93" s="8">
        <f t="shared" ca="1" si="8"/>
        <v>48488</v>
      </c>
      <c r="D93" s="9">
        <f t="shared" si="6"/>
        <v>6599.5573921665746</v>
      </c>
      <c r="E93" s="9">
        <f t="shared" si="7"/>
        <v>0</v>
      </c>
      <c r="F93" s="9">
        <f t="shared" si="9"/>
        <v>3331.1629440683637</v>
      </c>
      <c r="G93" s="9">
        <f t="shared" si="10"/>
        <v>3268.3944480982109</v>
      </c>
      <c r="H93" s="9">
        <f t="shared" si="11"/>
        <v>796210.71212830907</v>
      </c>
    </row>
    <row r="94" spans="2:8" x14ac:dyDescent="0.25">
      <c r="B94" s="8">
        <f t="shared" ca="1" si="8"/>
        <v>48519</v>
      </c>
      <c r="D94" s="9">
        <f t="shared" si="6"/>
        <v>6599.5573921665746</v>
      </c>
      <c r="E94" s="9">
        <f t="shared" si="7"/>
        <v>0</v>
      </c>
      <c r="F94" s="9">
        <f t="shared" si="9"/>
        <v>3317.5446338679544</v>
      </c>
      <c r="G94" s="9">
        <f t="shared" si="10"/>
        <v>3282.0127582986202</v>
      </c>
      <c r="H94" s="9">
        <f t="shared" si="11"/>
        <v>792928.69937001041</v>
      </c>
    </row>
    <row r="95" spans="2:8" x14ac:dyDescent="0.25">
      <c r="B95" s="8">
        <f t="shared" ca="1" si="8"/>
        <v>48549</v>
      </c>
      <c r="D95" s="9">
        <f t="shared" si="6"/>
        <v>6599.5573921665746</v>
      </c>
      <c r="E95" s="9">
        <f t="shared" si="7"/>
        <v>0</v>
      </c>
      <c r="F95" s="9">
        <f t="shared" si="9"/>
        <v>3303.8695807083768</v>
      </c>
      <c r="G95" s="9">
        <f t="shared" si="10"/>
        <v>3295.6878114581978</v>
      </c>
      <c r="H95" s="9">
        <f t="shared" si="11"/>
        <v>789633.01155855216</v>
      </c>
    </row>
    <row r="96" spans="2:8" x14ac:dyDescent="0.25">
      <c r="B96" s="8">
        <f t="shared" ca="1" si="8"/>
        <v>48580</v>
      </c>
      <c r="D96" s="9">
        <f t="shared" si="6"/>
        <v>6599.5573921665746</v>
      </c>
      <c r="E96" s="9">
        <f t="shared" si="7"/>
        <v>0</v>
      </c>
      <c r="F96" s="9">
        <f t="shared" si="9"/>
        <v>3290.1375481606337</v>
      </c>
      <c r="G96" s="9">
        <f t="shared" si="10"/>
        <v>3309.4198440059408</v>
      </c>
      <c r="H96" s="9">
        <f t="shared" si="11"/>
        <v>786323.5917145462</v>
      </c>
    </row>
    <row r="97" spans="2:8" x14ac:dyDescent="0.25">
      <c r="B97" s="8">
        <f t="shared" ca="1" si="8"/>
        <v>48611</v>
      </c>
      <c r="D97" s="9">
        <f t="shared" si="6"/>
        <v>6599.5573921665746</v>
      </c>
      <c r="E97" s="9">
        <f t="shared" si="7"/>
        <v>0</v>
      </c>
      <c r="F97" s="9">
        <f t="shared" si="9"/>
        <v>3276.3482988106093</v>
      </c>
      <c r="G97" s="9">
        <f t="shared" si="10"/>
        <v>3323.2090933559653</v>
      </c>
      <c r="H97" s="9">
        <f t="shared" si="11"/>
        <v>783000.38262119028</v>
      </c>
    </row>
    <row r="98" spans="2:8" x14ac:dyDescent="0.25">
      <c r="B98" s="8">
        <f t="shared" ca="1" si="8"/>
        <v>48639</v>
      </c>
      <c r="D98" s="9">
        <f t="shared" si="6"/>
        <v>6599.5573921665746</v>
      </c>
      <c r="E98" s="9">
        <f t="shared" si="7"/>
        <v>0</v>
      </c>
      <c r="F98" s="9">
        <f t="shared" si="9"/>
        <v>3262.5015942549594</v>
      </c>
      <c r="G98" s="9">
        <f t="shared" si="10"/>
        <v>3337.0557979116152</v>
      </c>
      <c r="H98" s="9">
        <f t="shared" si="11"/>
        <v>779663.32682327868</v>
      </c>
    </row>
    <row r="99" spans="2:8" x14ac:dyDescent="0.25">
      <c r="B99" s="8">
        <f t="shared" ca="1" si="8"/>
        <v>48670</v>
      </c>
      <c r="D99" s="9">
        <f t="shared" si="6"/>
        <v>6599.5573921665746</v>
      </c>
      <c r="E99" s="9">
        <f t="shared" si="7"/>
        <v>0</v>
      </c>
      <c r="F99" s="9">
        <f t="shared" si="9"/>
        <v>3248.5971950969943</v>
      </c>
      <c r="G99" s="9">
        <f t="shared" si="10"/>
        <v>3350.9601970695803</v>
      </c>
      <c r="H99" s="9">
        <f t="shared" si="11"/>
        <v>776312.36662620911</v>
      </c>
    </row>
    <row r="100" spans="2:8" x14ac:dyDescent="0.25">
      <c r="B100" s="8">
        <f t="shared" ca="1" si="8"/>
        <v>48700</v>
      </c>
      <c r="D100" s="9">
        <f t="shared" si="6"/>
        <v>6599.5573921665746</v>
      </c>
      <c r="E100" s="9">
        <f t="shared" si="7"/>
        <v>0</v>
      </c>
      <c r="F100" s="9">
        <f t="shared" si="9"/>
        <v>3234.6348609425381</v>
      </c>
      <c r="G100" s="9">
        <f t="shared" si="10"/>
        <v>3364.9225312240364</v>
      </c>
      <c r="H100" s="9">
        <f t="shared" si="11"/>
        <v>772947.44409498503</v>
      </c>
    </row>
    <row r="101" spans="2:8" x14ac:dyDescent="0.25">
      <c r="B101" s="8">
        <f t="shared" ca="1" si="8"/>
        <v>48731</v>
      </c>
      <c r="D101" s="9">
        <f t="shared" si="6"/>
        <v>6599.5573921665746</v>
      </c>
      <c r="E101" s="9">
        <f t="shared" si="7"/>
        <v>0</v>
      </c>
      <c r="F101" s="9">
        <f t="shared" si="9"/>
        <v>3220.614350395771</v>
      </c>
      <c r="G101" s="9">
        <f t="shared" si="10"/>
        <v>3378.9430417708036</v>
      </c>
      <c r="H101" s="9">
        <f t="shared" si="11"/>
        <v>769568.50105321419</v>
      </c>
    </row>
    <row r="102" spans="2:8" x14ac:dyDescent="0.25">
      <c r="B102" s="8">
        <f t="shared" ca="1" si="8"/>
        <v>48761</v>
      </c>
      <c r="D102" s="9">
        <f t="shared" si="6"/>
        <v>6599.5573921665746</v>
      </c>
      <c r="E102" s="9">
        <f t="shared" si="7"/>
        <v>0</v>
      </c>
      <c r="F102" s="9">
        <f t="shared" si="9"/>
        <v>3206.535421055059</v>
      </c>
      <c r="G102" s="9">
        <f t="shared" si="10"/>
        <v>3393.0219711115155</v>
      </c>
      <c r="H102" s="9">
        <f t="shared" si="11"/>
        <v>766175.47908210265</v>
      </c>
    </row>
    <row r="103" spans="2:8" x14ac:dyDescent="0.25">
      <c r="B103" s="8">
        <f t="shared" ca="1" si="8"/>
        <v>48792</v>
      </c>
      <c r="D103" s="9">
        <f t="shared" si="6"/>
        <v>6599.5573921665746</v>
      </c>
      <c r="E103" s="9">
        <f t="shared" si="7"/>
        <v>0</v>
      </c>
      <c r="F103" s="9">
        <f t="shared" si="9"/>
        <v>3192.3978295087609</v>
      </c>
      <c r="G103" s="9">
        <f t="shared" si="10"/>
        <v>3407.1595626578137</v>
      </c>
      <c r="H103" s="9">
        <f t="shared" si="11"/>
        <v>762768.31951944483</v>
      </c>
    </row>
    <row r="104" spans="2:8" x14ac:dyDescent="0.25">
      <c r="B104" s="8">
        <f t="shared" ca="1" si="8"/>
        <v>48823</v>
      </c>
      <c r="D104" s="9">
        <f t="shared" si="6"/>
        <v>6599.5573921665746</v>
      </c>
      <c r="E104" s="9">
        <f t="shared" si="7"/>
        <v>0</v>
      </c>
      <c r="F104" s="9">
        <f t="shared" si="9"/>
        <v>3178.2013313310199</v>
      </c>
      <c r="G104" s="9">
        <f t="shared" si="10"/>
        <v>3421.3560608355547</v>
      </c>
      <c r="H104" s="9">
        <f t="shared" si="11"/>
        <v>759346.9634586093</v>
      </c>
    </row>
    <row r="105" spans="2:8" x14ac:dyDescent="0.25">
      <c r="B105" s="8">
        <f t="shared" ca="1" si="8"/>
        <v>48853</v>
      </c>
      <c r="D105" s="9">
        <f t="shared" si="6"/>
        <v>6599.5573921665746</v>
      </c>
      <c r="E105" s="9">
        <f t="shared" si="7"/>
        <v>0</v>
      </c>
      <c r="F105" s="9">
        <f t="shared" si="9"/>
        <v>3163.9456810775387</v>
      </c>
      <c r="G105" s="9">
        <f t="shared" si="10"/>
        <v>3435.6117110890359</v>
      </c>
      <c r="H105" s="9">
        <f t="shared" si="11"/>
        <v>755911.35174752027</v>
      </c>
    </row>
    <row r="106" spans="2:8" x14ac:dyDescent="0.25">
      <c r="B106" s="8">
        <f t="shared" ca="1" si="8"/>
        <v>48884</v>
      </c>
      <c r="D106" s="9">
        <f t="shared" si="6"/>
        <v>6599.5573921665746</v>
      </c>
      <c r="E106" s="9">
        <f t="shared" si="7"/>
        <v>0</v>
      </c>
      <c r="F106" s="9">
        <f t="shared" si="9"/>
        <v>3149.6306322813343</v>
      </c>
      <c r="G106" s="9">
        <f t="shared" si="10"/>
        <v>3449.9267598852402</v>
      </c>
      <c r="H106" s="9">
        <f t="shared" si="11"/>
        <v>752461.42498763499</v>
      </c>
    </row>
    <row r="107" spans="2:8" x14ac:dyDescent="0.25">
      <c r="B107" s="8">
        <f t="shared" ca="1" si="8"/>
        <v>48914</v>
      </c>
      <c r="D107" s="9">
        <f t="shared" si="6"/>
        <v>6599.5573921665746</v>
      </c>
      <c r="E107" s="9">
        <f t="shared" si="7"/>
        <v>0</v>
      </c>
      <c r="F107" s="9">
        <f t="shared" si="9"/>
        <v>3135.255937448479</v>
      </c>
      <c r="G107" s="9">
        <f t="shared" si="10"/>
        <v>3464.3014547180956</v>
      </c>
      <c r="H107" s="9">
        <f t="shared" si="11"/>
        <v>748997.12353291688</v>
      </c>
    </row>
    <row r="108" spans="2:8" x14ac:dyDescent="0.25">
      <c r="B108" s="8">
        <f t="shared" ca="1" si="8"/>
        <v>48945</v>
      </c>
      <c r="D108" s="9">
        <f t="shared" si="6"/>
        <v>6599.5573921665746</v>
      </c>
      <c r="E108" s="9">
        <f t="shared" si="7"/>
        <v>0</v>
      </c>
      <c r="F108" s="9">
        <f t="shared" si="9"/>
        <v>3120.8213480538202</v>
      </c>
      <c r="G108" s="9">
        <f t="shared" si="10"/>
        <v>3478.7360441127544</v>
      </c>
      <c r="H108" s="9">
        <f t="shared" si="11"/>
        <v>745518.38748880418</v>
      </c>
    </row>
    <row r="109" spans="2:8" x14ac:dyDescent="0.25">
      <c r="B109" s="8">
        <f t="shared" ca="1" si="8"/>
        <v>48976</v>
      </c>
      <c r="D109" s="9">
        <f t="shared" si="6"/>
        <v>6599.5573921665746</v>
      </c>
      <c r="E109" s="9">
        <f t="shared" si="7"/>
        <v>0</v>
      </c>
      <c r="F109" s="9">
        <f t="shared" si="9"/>
        <v>3106.3266145366842</v>
      </c>
      <c r="G109" s="9">
        <f t="shared" si="10"/>
        <v>3493.2307776298903</v>
      </c>
      <c r="H109" s="9">
        <f t="shared" si="11"/>
        <v>742025.15671117429</v>
      </c>
    </row>
    <row r="110" spans="2:8" x14ac:dyDescent="0.25">
      <c r="B110" s="8">
        <f t="shared" ca="1" si="8"/>
        <v>49004</v>
      </c>
      <c r="D110" s="9">
        <f t="shared" si="6"/>
        <v>6599.5573921665746</v>
      </c>
      <c r="E110" s="9">
        <f t="shared" si="7"/>
        <v>0</v>
      </c>
      <c r="F110" s="9">
        <f t="shared" si="9"/>
        <v>3091.7714862965595</v>
      </c>
      <c r="G110" s="9">
        <f t="shared" si="10"/>
        <v>3507.7859058700151</v>
      </c>
      <c r="H110" s="9">
        <f t="shared" si="11"/>
        <v>738517.37080530426</v>
      </c>
    </row>
    <row r="111" spans="2:8" x14ac:dyDescent="0.25">
      <c r="B111" s="8">
        <f t="shared" ca="1" si="8"/>
        <v>49035</v>
      </c>
      <c r="D111" s="9">
        <f t="shared" si="6"/>
        <v>6599.5573921665746</v>
      </c>
      <c r="E111" s="9">
        <f t="shared" si="7"/>
        <v>0</v>
      </c>
      <c r="F111" s="9">
        <f t="shared" si="9"/>
        <v>3077.155711688768</v>
      </c>
      <c r="G111" s="9">
        <f t="shared" si="10"/>
        <v>3522.4016804778066</v>
      </c>
      <c r="H111" s="9">
        <f t="shared" si="11"/>
        <v>734994.96912482649</v>
      </c>
    </row>
    <row r="112" spans="2:8" x14ac:dyDescent="0.25">
      <c r="B112" s="8">
        <f t="shared" ca="1" si="8"/>
        <v>49065</v>
      </c>
      <c r="D112" s="9">
        <f t="shared" si="6"/>
        <v>6599.5573921665746</v>
      </c>
      <c r="E112" s="9">
        <f t="shared" si="7"/>
        <v>0</v>
      </c>
      <c r="F112" s="9">
        <f t="shared" si="9"/>
        <v>3062.4790380201102</v>
      </c>
      <c r="G112" s="9">
        <f t="shared" si="10"/>
        <v>3537.0783541464643</v>
      </c>
      <c r="H112" s="9">
        <f t="shared" si="11"/>
        <v>731457.89077068004</v>
      </c>
    </row>
    <row r="113" spans="2:8" x14ac:dyDescent="0.25">
      <c r="B113" s="8">
        <f t="shared" ca="1" si="8"/>
        <v>49096</v>
      </c>
      <c r="D113" s="9">
        <f t="shared" si="6"/>
        <v>6599.5573921665746</v>
      </c>
      <c r="E113" s="9">
        <f t="shared" si="7"/>
        <v>0</v>
      </c>
      <c r="F113" s="9">
        <f t="shared" si="9"/>
        <v>3047.7412115444999</v>
      </c>
      <c r="G113" s="9">
        <f t="shared" si="10"/>
        <v>3551.8161806220746</v>
      </c>
      <c r="H113" s="9">
        <f t="shared" si="11"/>
        <v>727906.07459005795</v>
      </c>
    </row>
    <row r="114" spans="2:8" x14ac:dyDescent="0.25">
      <c r="B114" s="8">
        <f t="shared" ca="1" si="8"/>
        <v>49126</v>
      </c>
      <c r="D114" s="9">
        <f t="shared" si="6"/>
        <v>6599.5573921665746</v>
      </c>
      <c r="E114" s="9">
        <f t="shared" si="7"/>
        <v>0</v>
      </c>
      <c r="F114" s="9">
        <f t="shared" si="9"/>
        <v>3032.9419774585749</v>
      </c>
      <c r="G114" s="9">
        <f t="shared" si="10"/>
        <v>3566.6154147079997</v>
      </c>
      <c r="H114" s="9">
        <f t="shared" si="11"/>
        <v>724339.45917534991</v>
      </c>
    </row>
    <row r="115" spans="2:8" x14ac:dyDescent="0.25">
      <c r="B115" s="8">
        <f t="shared" ca="1" si="8"/>
        <v>49157</v>
      </c>
      <c r="D115" s="9">
        <f t="shared" si="6"/>
        <v>6599.5573921665746</v>
      </c>
      <c r="E115" s="9">
        <f t="shared" si="7"/>
        <v>0</v>
      </c>
      <c r="F115" s="9">
        <f t="shared" si="9"/>
        <v>3018.0810798972911</v>
      </c>
      <c r="G115" s="9">
        <f t="shared" si="10"/>
        <v>3581.4763122692834</v>
      </c>
      <c r="H115" s="9">
        <f t="shared" si="11"/>
        <v>720757.98286308057</v>
      </c>
    </row>
    <row r="116" spans="2:8" x14ac:dyDescent="0.25">
      <c r="B116" s="8">
        <f t="shared" ca="1" si="8"/>
        <v>49188</v>
      </c>
      <c r="D116" s="9">
        <f t="shared" si="6"/>
        <v>6599.5573921665746</v>
      </c>
      <c r="E116" s="9">
        <f t="shared" si="7"/>
        <v>0</v>
      </c>
      <c r="F116" s="9">
        <f t="shared" si="9"/>
        <v>3003.1582619295023</v>
      </c>
      <c r="G116" s="9">
        <f t="shared" si="10"/>
        <v>3596.3991302370723</v>
      </c>
      <c r="H116" s="9">
        <f t="shared" si="11"/>
        <v>717161.58373284352</v>
      </c>
    </row>
    <row r="117" spans="2:8" x14ac:dyDescent="0.25">
      <c r="B117" s="8">
        <f t="shared" ca="1" si="8"/>
        <v>49218</v>
      </c>
      <c r="D117" s="9">
        <f t="shared" si="6"/>
        <v>6599.5573921665746</v>
      </c>
      <c r="E117" s="9">
        <f t="shared" si="7"/>
        <v>0</v>
      </c>
      <c r="F117" s="9">
        <f t="shared" si="9"/>
        <v>2988.1732655535147</v>
      </c>
      <c r="G117" s="9">
        <f t="shared" si="10"/>
        <v>3611.3841266130598</v>
      </c>
      <c r="H117" s="9">
        <f t="shared" si="11"/>
        <v>713550.19960623048</v>
      </c>
    </row>
    <row r="118" spans="2:8" x14ac:dyDescent="0.25">
      <c r="B118" s="8">
        <f t="shared" ca="1" si="8"/>
        <v>49249</v>
      </c>
      <c r="D118" s="9">
        <f t="shared" si="6"/>
        <v>6599.5573921665746</v>
      </c>
      <c r="E118" s="9">
        <f t="shared" si="7"/>
        <v>0</v>
      </c>
      <c r="F118" s="9">
        <f t="shared" si="9"/>
        <v>2973.1258316926269</v>
      </c>
      <c r="G118" s="9">
        <f t="shared" si="10"/>
        <v>3626.4315604739477</v>
      </c>
      <c r="H118" s="9">
        <f t="shared" si="11"/>
        <v>709923.7680457565</v>
      </c>
    </row>
    <row r="119" spans="2:8" x14ac:dyDescent="0.25">
      <c r="B119" s="8">
        <f t="shared" ca="1" si="8"/>
        <v>49279</v>
      </c>
      <c r="D119" s="9">
        <f t="shared" si="6"/>
        <v>6599.5573921665746</v>
      </c>
      <c r="E119" s="9">
        <f t="shared" si="7"/>
        <v>0</v>
      </c>
      <c r="F119" s="9">
        <f t="shared" si="9"/>
        <v>2958.0157001906518</v>
      </c>
      <c r="G119" s="9">
        <f t="shared" si="10"/>
        <v>3641.5416919759227</v>
      </c>
      <c r="H119" s="9">
        <f t="shared" si="11"/>
        <v>706282.2263537806</v>
      </c>
    </row>
    <row r="120" spans="2:8" x14ac:dyDescent="0.25">
      <c r="B120" s="8">
        <f t="shared" ca="1" si="8"/>
        <v>49310</v>
      </c>
      <c r="D120" s="9">
        <f t="shared" si="6"/>
        <v>6599.5573921665746</v>
      </c>
      <c r="E120" s="9">
        <f t="shared" si="7"/>
        <v>0</v>
      </c>
      <c r="F120" s="9">
        <f t="shared" si="9"/>
        <v>2942.8426098074192</v>
      </c>
      <c r="G120" s="9">
        <f t="shared" si="10"/>
        <v>3656.7147823591554</v>
      </c>
      <c r="H120" s="9">
        <f t="shared" si="11"/>
        <v>702625.5115714214</v>
      </c>
    </row>
    <row r="121" spans="2:8" x14ac:dyDescent="0.25">
      <c r="B121" s="8">
        <f t="shared" ca="1" si="8"/>
        <v>49341</v>
      </c>
      <c r="D121" s="9">
        <f t="shared" si="6"/>
        <v>6599.5573921665746</v>
      </c>
      <c r="E121" s="9">
        <f t="shared" si="7"/>
        <v>0</v>
      </c>
      <c r="F121" s="9">
        <f t="shared" si="9"/>
        <v>2927.6062982142557</v>
      </c>
      <c r="G121" s="9">
        <f t="shared" si="10"/>
        <v>3671.9510939523188</v>
      </c>
      <c r="H121" s="9">
        <f t="shared" si="11"/>
        <v>698953.56047746912</v>
      </c>
    </row>
    <row r="122" spans="2:8" x14ac:dyDescent="0.25">
      <c r="B122" s="8">
        <f t="shared" ca="1" si="8"/>
        <v>49369</v>
      </c>
      <c r="D122" s="9">
        <f t="shared" si="6"/>
        <v>6599.5573921665746</v>
      </c>
      <c r="E122" s="9">
        <f t="shared" si="7"/>
        <v>0</v>
      </c>
      <c r="F122" s="9">
        <f t="shared" si="9"/>
        <v>2912.3065019894548</v>
      </c>
      <c r="G122" s="9">
        <f t="shared" si="10"/>
        <v>3687.2508901771198</v>
      </c>
      <c r="H122" s="9">
        <f t="shared" si="11"/>
        <v>695266.30958729202</v>
      </c>
    </row>
    <row r="123" spans="2:8" x14ac:dyDescent="0.25">
      <c r="B123" s="8">
        <f t="shared" ca="1" si="8"/>
        <v>49400</v>
      </c>
      <c r="D123" s="9">
        <f t="shared" si="6"/>
        <v>6599.5573921665746</v>
      </c>
      <c r="E123" s="9">
        <f t="shared" si="7"/>
        <v>0</v>
      </c>
      <c r="F123" s="9">
        <f t="shared" si="9"/>
        <v>2896.9429566137169</v>
      </c>
      <c r="G123" s="9">
        <f t="shared" si="10"/>
        <v>3702.6144355528577</v>
      </c>
      <c r="H123" s="9">
        <f t="shared" si="11"/>
        <v>691563.69515173917</v>
      </c>
    </row>
    <row r="124" spans="2:8" x14ac:dyDescent="0.25">
      <c r="B124" s="8">
        <f t="shared" ca="1" si="8"/>
        <v>49430</v>
      </c>
      <c r="D124" s="9">
        <f t="shared" si="6"/>
        <v>6599.5573921665746</v>
      </c>
      <c r="E124" s="9">
        <f t="shared" si="7"/>
        <v>0</v>
      </c>
      <c r="F124" s="9">
        <f t="shared" si="9"/>
        <v>2881.5153964655797</v>
      </c>
      <c r="G124" s="9">
        <f t="shared" si="10"/>
        <v>3718.0419957009949</v>
      </c>
      <c r="H124" s="9">
        <f t="shared" si="11"/>
        <v>687845.65315603814</v>
      </c>
    </row>
    <row r="125" spans="2:8" x14ac:dyDescent="0.25">
      <c r="B125" s="8">
        <f t="shared" ca="1" si="8"/>
        <v>49461</v>
      </c>
      <c r="D125" s="9">
        <f t="shared" si="6"/>
        <v>6599.5573921665746</v>
      </c>
      <c r="E125" s="9">
        <f t="shared" si="7"/>
        <v>0</v>
      </c>
      <c r="F125" s="9">
        <f t="shared" si="9"/>
        <v>2866.0235548168257</v>
      </c>
      <c r="G125" s="9">
        <f t="shared" si="10"/>
        <v>3733.5338373497489</v>
      </c>
      <c r="H125" s="9">
        <f t="shared" si="11"/>
        <v>684112.1193186884</v>
      </c>
    </row>
    <row r="126" spans="2:8" x14ac:dyDescent="0.25">
      <c r="B126" s="8">
        <f t="shared" ca="1" si="8"/>
        <v>49491</v>
      </c>
      <c r="D126" s="9">
        <f t="shared" si="6"/>
        <v>6599.5573921665746</v>
      </c>
      <c r="E126" s="9">
        <f t="shared" si="7"/>
        <v>0</v>
      </c>
      <c r="F126" s="9">
        <f t="shared" si="9"/>
        <v>2850.4671638278683</v>
      </c>
      <c r="G126" s="9">
        <f t="shared" si="10"/>
        <v>3749.0902283387063</v>
      </c>
      <c r="H126" s="9">
        <f t="shared" si="11"/>
        <v>680363.02909034968</v>
      </c>
    </row>
    <row r="127" spans="2:8" x14ac:dyDescent="0.25">
      <c r="B127" s="8">
        <f t="shared" ca="1" si="8"/>
        <v>49522</v>
      </c>
      <c r="D127" s="9">
        <f t="shared" si="6"/>
        <v>6599.5573921665746</v>
      </c>
      <c r="E127" s="9">
        <f t="shared" si="7"/>
        <v>0</v>
      </c>
      <c r="F127" s="9">
        <f t="shared" si="9"/>
        <v>2834.8459545431238</v>
      </c>
      <c r="G127" s="9">
        <f t="shared" si="10"/>
        <v>3764.7114376234508</v>
      </c>
      <c r="H127" s="9">
        <f t="shared" si="11"/>
        <v>676598.3176527262</v>
      </c>
    </row>
    <row r="128" spans="2:8" x14ac:dyDescent="0.25">
      <c r="B128" s="8">
        <f t="shared" ca="1" si="8"/>
        <v>49553</v>
      </c>
      <c r="D128" s="9">
        <f t="shared" si="6"/>
        <v>6599.5573921665746</v>
      </c>
      <c r="E128" s="9">
        <f t="shared" si="7"/>
        <v>0</v>
      </c>
      <c r="F128" s="9">
        <f t="shared" si="9"/>
        <v>2819.1596568863592</v>
      </c>
      <c r="G128" s="9">
        <f t="shared" si="10"/>
        <v>3780.3977352802153</v>
      </c>
      <c r="H128" s="9">
        <f t="shared" si="11"/>
        <v>672817.91991744598</v>
      </c>
    </row>
    <row r="129" spans="2:8" x14ac:dyDescent="0.25">
      <c r="B129" s="8">
        <f t="shared" ca="1" si="8"/>
        <v>49583</v>
      </c>
      <c r="D129" s="9">
        <f t="shared" si="6"/>
        <v>6599.5573921665746</v>
      </c>
      <c r="E129" s="9">
        <f t="shared" si="7"/>
        <v>0</v>
      </c>
      <c r="F129" s="9">
        <f t="shared" si="9"/>
        <v>2803.4079996560249</v>
      </c>
      <c r="G129" s="9">
        <f t="shared" si="10"/>
        <v>3796.1493925105497</v>
      </c>
      <c r="H129" s="9">
        <f t="shared" si="11"/>
        <v>669021.77052493545</v>
      </c>
    </row>
    <row r="130" spans="2:8" x14ac:dyDescent="0.25">
      <c r="B130" s="8">
        <f t="shared" ca="1" si="8"/>
        <v>49614</v>
      </c>
      <c r="D130" s="9">
        <f t="shared" si="6"/>
        <v>6599.5573921665746</v>
      </c>
      <c r="E130" s="9">
        <f t="shared" si="7"/>
        <v>0</v>
      </c>
      <c r="F130" s="9">
        <f t="shared" si="9"/>
        <v>2787.5907105205642</v>
      </c>
      <c r="G130" s="9">
        <f t="shared" si="10"/>
        <v>3811.9666816460103</v>
      </c>
      <c r="H130" s="9">
        <f t="shared" si="11"/>
        <v>665209.80384328938</v>
      </c>
    </row>
    <row r="131" spans="2:8" x14ac:dyDescent="0.25">
      <c r="B131" s="8">
        <f t="shared" ca="1" si="8"/>
        <v>49644</v>
      </c>
      <c r="D131" s="9">
        <f t="shared" si="6"/>
        <v>6599.5573921665746</v>
      </c>
      <c r="E131" s="9">
        <f t="shared" si="7"/>
        <v>0</v>
      </c>
      <c r="F131" s="9">
        <f t="shared" si="9"/>
        <v>2771.7075160137056</v>
      </c>
      <c r="G131" s="9">
        <f t="shared" si="10"/>
        <v>3827.849876152869</v>
      </c>
      <c r="H131" s="9">
        <f t="shared" si="11"/>
        <v>661381.95396713656</v>
      </c>
    </row>
    <row r="132" spans="2:8" x14ac:dyDescent="0.25">
      <c r="B132" s="8">
        <f t="shared" ca="1" si="8"/>
        <v>49675</v>
      </c>
      <c r="D132" s="9">
        <f t="shared" si="6"/>
        <v>6599.5573921665746</v>
      </c>
      <c r="E132" s="9">
        <f t="shared" si="7"/>
        <v>0</v>
      </c>
      <c r="F132" s="9">
        <f t="shared" si="9"/>
        <v>2755.7581415297354</v>
      </c>
      <c r="G132" s="9">
        <f t="shared" si="10"/>
        <v>3843.7992506368391</v>
      </c>
      <c r="H132" s="9">
        <f t="shared" si="11"/>
        <v>657538.15471649973</v>
      </c>
    </row>
    <row r="133" spans="2:8" x14ac:dyDescent="0.25">
      <c r="B133" s="8">
        <f t="shared" ca="1" si="8"/>
        <v>49706</v>
      </c>
      <c r="D133" s="9">
        <f t="shared" si="6"/>
        <v>6599.5573921665746</v>
      </c>
      <c r="E133" s="9">
        <f t="shared" si="7"/>
        <v>0</v>
      </c>
      <c r="F133" s="9">
        <f t="shared" si="9"/>
        <v>2739.7423113187488</v>
      </c>
      <c r="G133" s="9">
        <f t="shared" si="10"/>
        <v>3859.8150808478258</v>
      </c>
      <c r="H133" s="9">
        <f t="shared" si="11"/>
        <v>653678.33963565191</v>
      </c>
    </row>
    <row r="134" spans="2:8" x14ac:dyDescent="0.25">
      <c r="B134" s="8">
        <f t="shared" ca="1" si="8"/>
        <v>49735</v>
      </c>
      <c r="D134" s="9">
        <f t="shared" si="6"/>
        <v>6599.5573921665746</v>
      </c>
      <c r="E134" s="9">
        <f t="shared" si="7"/>
        <v>0</v>
      </c>
      <c r="F134" s="9">
        <f t="shared" si="9"/>
        <v>2723.6597484818831</v>
      </c>
      <c r="G134" s="9">
        <f t="shared" si="10"/>
        <v>3875.8976436846915</v>
      </c>
      <c r="H134" s="9">
        <f t="shared" si="11"/>
        <v>649802.44199196727</v>
      </c>
    </row>
    <row r="135" spans="2:8" x14ac:dyDescent="0.25">
      <c r="B135" s="8">
        <f t="shared" ca="1" si="8"/>
        <v>49766</v>
      </c>
      <c r="D135" s="9">
        <f t="shared" si="6"/>
        <v>6599.5573921665746</v>
      </c>
      <c r="E135" s="9">
        <f t="shared" si="7"/>
        <v>0</v>
      </c>
      <c r="F135" s="9">
        <f t="shared" si="9"/>
        <v>2707.51017496653</v>
      </c>
      <c r="G135" s="9">
        <f t="shared" si="10"/>
        <v>3892.0472172000445</v>
      </c>
      <c r="H135" s="9">
        <f t="shared" si="11"/>
        <v>645910.39477476722</v>
      </c>
    </row>
    <row r="136" spans="2:8" x14ac:dyDescent="0.25">
      <c r="B136" s="8">
        <f t="shared" ca="1" si="8"/>
        <v>49796</v>
      </c>
      <c r="D136" s="9">
        <f t="shared" si="6"/>
        <v>6599.5573921665746</v>
      </c>
      <c r="E136" s="9">
        <f t="shared" si="7"/>
        <v>0</v>
      </c>
      <c r="F136" s="9">
        <f t="shared" si="9"/>
        <v>2691.2933115615301</v>
      </c>
      <c r="G136" s="9">
        <f t="shared" si="10"/>
        <v>3908.2640806050445</v>
      </c>
      <c r="H136" s="9">
        <f t="shared" si="11"/>
        <v>642002.13069416222</v>
      </c>
    </row>
    <row r="137" spans="2:8" x14ac:dyDescent="0.25">
      <c r="B137" s="8">
        <f t="shared" ca="1" si="8"/>
        <v>49827</v>
      </c>
      <c r="D137" s="9">
        <f t="shared" si="6"/>
        <v>6599.5573921665746</v>
      </c>
      <c r="E137" s="9">
        <f t="shared" si="7"/>
        <v>0</v>
      </c>
      <c r="F137" s="9">
        <f t="shared" si="9"/>
        <v>2675.0088778923428</v>
      </c>
      <c r="G137" s="9">
        <f t="shared" si="10"/>
        <v>3924.5485142742318</v>
      </c>
      <c r="H137" s="9">
        <f t="shared" si="11"/>
        <v>638077.58217988804</v>
      </c>
    </row>
    <row r="138" spans="2:8" x14ac:dyDescent="0.25">
      <c r="B138" s="8">
        <f t="shared" ca="1" si="8"/>
        <v>49857</v>
      </c>
      <c r="D138" s="9">
        <f t="shared" si="6"/>
        <v>6599.5573921665746</v>
      </c>
      <c r="E138" s="9">
        <f t="shared" si="7"/>
        <v>0</v>
      </c>
      <c r="F138" s="9">
        <f t="shared" si="9"/>
        <v>2658.6565924162001</v>
      </c>
      <c r="G138" s="9">
        <f t="shared" si="10"/>
        <v>3940.9007997503745</v>
      </c>
      <c r="H138" s="9">
        <f t="shared" si="11"/>
        <v>634136.68138013768</v>
      </c>
    </row>
    <row r="139" spans="2:8" x14ac:dyDescent="0.25">
      <c r="B139" s="8">
        <f t="shared" ca="1" si="8"/>
        <v>49888</v>
      </c>
      <c r="D139" s="9">
        <f t="shared" si="6"/>
        <v>6599.5573921665746</v>
      </c>
      <c r="E139" s="9">
        <f t="shared" si="7"/>
        <v>0</v>
      </c>
      <c r="F139" s="9">
        <f t="shared" si="9"/>
        <v>2642.2361724172401</v>
      </c>
      <c r="G139" s="9">
        <f t="shared" si="10"/>
        <v>3957.3212197493344</v>
      </c>
      <c r="H139" s="9">
        <f t="shared" si="11"/>
        <v>630179.3601603884</v>
      </c>
    </row>
    <row r="140" spans="2:8" x14ac:dyDescent="0.25">
      <c r="B140" s="8">
        <f t="shared" ca="1" si="8"/>
        <v>49919</v>
      </c>
      <c r="D140" s="9">
        <f t="shared" si="6"/>
        <v>6599.5573921665746</v>
      </c>
      <c r="E140" s="9">
        <f t="shared" si="7"/>
        <v>0</v>
      </c>
      <c r="F140" s="9">
        <f t="shared" si="9"/>
        <v>2625.7473340016181</v>
      </c>
      <c r="G140" s="9">
        <f t="shared" si="10"/>
        <v>3973.8100581649564</v>
      </c>
      <c r="H140" s="9">
        <f t="shared" si="11"/>
        <v>626205.55010222341</v>
      </c>
    </row>
    <row r="141" spans="2:8" x14ac:dyDescent="0.25">
      <c r="B141" s="8">
        <f t="shared" ca="1" si="8"/>
        <v>49949</v>
      </c>
      <c r="D141" s="9">
        <f t="shared" si="6"/>
        <v>6599.5573921665746</v>
      </c>
      <c r="E141" s="9">
        <f t="shared" si="7"/>
        <v>0</v>
      </c>
      <c r="F141" s="9">
        <f t="shared" si="9"/>
        <v>2609.1897920925976</v>
      </c>
      <c r="G141" s="9">
        <f t="shared" si="10"/>
        <v>3990.367600073977</v>
      </c>
      <c r="H141" s="9">
        <f t="shared" si="11"/>
        <v>622215.18250214949</v>
      </c>
    </row>
    <row r="142" spans="2:8" x14ac:dyDescent="0.25">
      <c r="B142" s="8">
        <f t="shared" ca="1" si="8"/>
        <v>49980</v>
      </c>
      <c r="D142" s="9">
        <f t="shared" si="6"/>
        <v>6599.5573921665746</v>
      </c>
      <c r="E142" s="9">
        <f t="shared" si="7"/>
        <v>0</v>
      </c>
      <c r="F142" s="9">
        <f t="shared" si="9"/>
        <v>2592.563260425623</v>
      </c>
      <c r="G142" s="9">
        <f t="shared" si="10"/>
        <v>4006.9941317409516</v>
      </c>
      <c r="H142" s="9">
        <f t="shared" si="11"/>
        <v>618208.18837040849</v>
      </c>
    </row>
    <row r="143" spans="2:8" x14ac:dyDescent="0.25">
      <c r="B143" s="8">
        <f t="shared" ca="1" si="8"/>
        <v>50010</v>
      </c>
      <c r="D143" s="9">
        <f t="shared" si="6"/>
        <v>6599.5573921665746</v>
      </c>
      <c r="E143" s="9">
        <f t="shared" si="7"/>
        <v>0</v>
      </c>
      <c r="F143" s="9">
        <f t="shared" si="9"/>
        <v>2575.8674515433686</v>
      </c>
      <c r="G143" s="9">
        <f t="shared" si="10"/>
        <v>4023.689940623206</v>
      </c>
      <c r="H143" s="9">
        <f t="shared" si="11"/>
        <v>614184.49842978525</v>
      </c>
    </row>
    <row r="144" spans="2:8" x14ac:dyDescent="0.25">
      <c r="B144" s="8">
        <f t="shared" ca="1" si="8"/>
        <v>50041</v>
      </c>
      <c r="D144" s="9">
        <f t="shared" si="6"/>
        <v>6599.5573921665746</v>
      </c>
      <c r="E144" s="9">
        <f t="shared" si="7"/>
        <v>0</v>
      </c>
      <c r="F144" s="9">
        <f t="shared" si="9"/>
        <v>2559.1020767907717</v>
      </c>
      <c r="G144" s="9">
        <f t="shared" si="10"/>
        <v>4040.4553153758029</v>
      </c>
      <c r="H144" s="9">
        <f t="shared" si="11"/>
        <v>610144.04311440943</v>
      </c>
    </row>
    <row r="145" spans="2:8" x14ac:dyDescent="0.25">
      <c r="B145" s="8">
        <f t="shared" ca="1" si="8"/>
        <v>50072</v>
      </c>
      <c r="D145" s="9">
        <f t="shared" si="6"/>
        <v>6599.5573921665746</v>
      </c>
      <c r="E145" s="9">
        <f t="shared" si="7"/>
        <v>0</v>
      </c>
      <c r="F145" s="9">
        <f t="shared" si="9"/>
        <v>2542.2668463100395</v>
      </c>
      <c r="G145" s="9">
        <f t="shared" si="10"/>
        <v>4057.2905458565351</v>
      </c>
      <c r="H145" s="9">
        <f t="shared" si="11"/>
        <v>606086.75256855285</v>
      </c>
    </row>
    <row r="146" spans="2:8" x14ac:dyDescent="0.25">
      <c r="B146" s="8">
        <f t="shared" ca="1" si="8"/>
        <v>50100</v>
      </c>
      <c r="D146" s="9">
        <f t="shared" si="6"/>
        <v>6599.5573921665746</v>
      </c>
      <c r="E146" s="9">
        <f t="shared" si="7"/>
        <v>0</v>
      </c>
      <c r="F146" s="9">
        <f t="shared" si="9"/>
        <v>2525.3614690356367</v>
      </c>
      <c r="G146" s="9">
        <f t="shared" si="10"/>
        <v>4074.1959231309379</v>
      </c>
      <c r="H146" s="9">
        <f t="shared" si="11"/>
        <v>602012.55664542189</v>
      </c>
    </row>
    <row r="147" spans="2:8" x14ac:dyDescent="0.25">
      <c r="B147" s="8">
        <f t="shared" ca="1" si="8"/>
        <v>50131</v>
      </c>
      <c r="D147" s="9">
        <f t="shared" si="6"/>
        <v>6599.5573921665746</v>
      </c>
      <c r="E147" s="9">
        <f t="shared" si="7"/>
        <v>0</v>
      </c>
      <c r="F147" s="9">
        <f t="shared" si="9"/>
        <v>2508.3856526892578</v>
      </c>
      <c r="G147" s="9">
        <f t="shared" si="10"/>
        <v>4091.1717394773168</v>
      </c>
      <c r="H147" s="9">
        <f t="shared" si="11"/>
        <v>597921.38490594458</v>
      </c>
    </row>
    <row r="148" spans="2:8" x14ac:dyDescent="0.25">
      <c r="B148" s="8">
        <f t="shared" ca="1" si="8"/>
        <v>50161</v>
      </c>
      <c r="D148" s="9">
        <f t="shared" si="6"/>
        <v>6599.5573921665746</v>
      </c>
      <c r="E148" s="9">
        <f t="shared" si="7"/>
        <v>0</v>
      </c>
      <c r="F148" s="9">
        <f t="shared" si="9"/>
        <v>2491.3391037747692</v>
      </c>
      <c r="G148" s="9">
        <f t="shared" si="10"/>
        <v>4108.2182883918049</v>
      </c>
      <c r="H148" s="9">
        <f t="shared" si="11"/>
        <v>593813.16661755275</v>
      </c>
    </row>
    <row r="149" spans="2:8" x14ac:dyDescent="0.25">
      <c r="B149" s="8">
        <f t="shared" ca="1" si="8"/>
        <v>50192</v>
      </c>
      <c r="D149" s="9">
        <f t="shared" si="6"/>
        <v>6599.5573921665746</v>
      </c>
      <c r="E149" s="9">
        <f t="shared" si="7"/>
        <v>0</v>
      </c>
      <c r="F149" s="9">
        <f t="shared" si="9"/>
        <v>2474.2215275731364</v>
      </c>
      <c r="G149" s="9">
        <f t="shared" si="10"/>
        <v>4125.3358645934386</v>
      </c>
      <c r="H149" s="9">
        <f t="shared" si="11"/>
        <v>589687.83075295936</v>
      </c>
    </row>
    <row r="150" spans="2:8" x14ac:dyDescent="0.25">
      <c r="B150" s="8">
        <f t="shared" ca="1" si="8"/>
        <v>50222</v>
      </c>
      <c r="D150" s="9">
        <f t="shared" si="6"/>
        <v>6599.5573921665746</v>
      </c>
      <c r="E150" s="9">
        <f t="shared" si="7"/>
        <v>0</v>
      </c>
      <c r="F150" s="9">
        <f t="shared" si="9"/>
        <v>2457.0326281373304</v>
      </c>
      <c r="G150" s="9">
        <f t="shared" si="10"/>
        <v>4142.5247640292437</v>
      </c>
      <c r="H150" s="9">
        <f t="shared" si="11"/>
        <v>585545.30598893017</v>
      </c>
    </row>
    <row r="151" spans="2:8" x14ac:dyDescent="0.25">
      <c r="B151" s="8">
        <f t="shared" ca="1" si="8"/>
        <v>50253</v>
      </c>
      <c r="D151" s="9">
        <f t="shared" ref="D151:D214" si="12">$D$12</f>
        <v>6599.5573921665746</v>
      </c>
      <c r="E151" s="9">
        <f t="shared" ref="E151:E214" si="13">MAX(0,D151-$D$12)</f>
        <v>0</v>
      </c>
      <c r="F151" s="9">
        <f t="shared" si="9"/>
        <v>2439.772108287209</v>
      </c>
      <c r="G151" s="9">
        <f t="shared" si="10"/>
        <v>4159.785283879366</v>
      </c>
      <c r="H151" s="9">
        <f t="shared" si="11"/>
        <v>581385.52070505079</v>
      </c>
    </row>
    <row r="152" spans="2:8" x14ac:dyDescent="0.25">
      <c r="B152" s="8">
        <f t="shared" ref="B152:B215" ca="1" si="14">EOMONTH(B151,0)+1</f>
        <v>50284</v>
      </c>
      <c r="D152" s="9">
        <f t="shared" si="12"/>
        <v>6599.5573921665746</v>
      </c>
      <c r="E152" s="9">
        <f t="shared" si="13"/>
        <v>0</v>
      </c>
      <c r="F152" s="9">
        <f t="shared" ref="F152:F215" si="15">H151*($D$10/12)</f>
        <v>2422.4396696043782</v>
      </c>
      <c r="G152" s="9">
        <f t="shared" ref="G152:G215" si="16">D152-F152</f>
        <v>4177.1177225621959</v>
      </c>
      <c r="H152" s="9">
        <f t="shared" ref="H152:H215" si="17">H151-G152</f>
        <v>577208.40298248862</v>
      </c>
    </row>
    <row r="153" spans="2:8" x14ac:dyDescent="0.25">
      <c r="B153" s="8">
        <f t="shared" ca="1" si="14"/>
        <v>50314</v>
      </c>
      <c r="D153" s="9">
        <f t="shared" si="12"/>
        <v>6599.5573921665746</v>
      </c>
      <c r="E153" s="9">
        <f t="shared" si="13"/>
        <v>0</v>
      </c>
      <c r="F153" s="9">
        <f t="shared" si="15"/>
        <v>2405.0350124270358</v>
      </c>
      <c r="G153" s="9">
        <f t="shared" si="16"/>
        <v>4194.5223797395392</v>
      </c>
      <c r="H153" s="9">
        <f t="shared" si="17"/>
        <v>573013.88060274906</v>
      </c>
    </row>
    <row r="154" spans="2:8" x14ac:dyDescent="0.25">
      <c r="B154" s="8">
        <f t="shared" ca="1" si="14"/>
        <v>50345</v>
      </c>
      <c r="D154" s="9">
        <f t="shared" si="12"/>
        <v>6599.5573921665746</v>
      </c>
      <c r="E154" s="9">
        <f t="shared" si="13"/>
        <v>0</v>
      </c>
      <c r="F154" s="9">
        <f t="shared" si="15"/>
        <v>2387.5578358447879</v>
      </c>
      <c r="G154" s="9">
        <f t="shared" si="16"/>
        <v>4211.9995563217872</v>
      </c>
      <c r="H154" s="9">
        <f t="shared" si="17"/>
        <v>568801.8810464273</v>
      </c>
    </row>
    <row r="155" spans="2:8" x14ac:dyDescent="0.25">
      <c r="B155" s="8">
        <f t="shared" ca="1" si="14"/>
        <v>50375</v>
      </c>
      <c r="D155" s="9">
        <f t="shared" si="12"/>
        <v>6599.5573921665746</v>
      </c>
      <c r="E155" s="9">
        <f t="shared" si="13"/>
        <v>0</v>
      </c>
      <c r="F155" s="9">
        <f t="shared" si="15"/>
        <v>2370.0078376934471</v>
      </c>
      <c r="G155" s="9">
        <f t="shared" si="16"/>
        <v>4229.5495544731275</v>
      </c>
      <c r="H155" s="9">
        <f t="shared" si="17"/>
        <v>564572.33149195416</v>
      </c>
    </row>
    <row r="156" spans="2:8" x14ac:dyDescent="0.25">
      <c r="B156" s="8">
        <f t="shared" ca="1" si="14"/>
        <v>50406</v>
      </c>
      <c r="D156" s="9">
        <f t="shared" si="12"/>
        <v>6599.5573921665746</v>
      </c>
      <c r="E156" s="9">
        <f t="shared" si="13"/>
        <v>0</v>
      </c>
      <c r="F156" s="9">
        <f t="shared" si="15"/>
        <v>2352.3847145498089</v>
      </c>
      <c r="G156" s="9">
        <f t="shared" si="16"/>
        <v>4247.1726776167652</v>
      </c>
      <c r="H156" s="9">
        <f t="shared" si="17"/>
        <v>560325.15881433734</v>
      </c>
    </row>
    <row r="157" spans="2:8" x14ac:dyDescent="0.25">
      <c r="B157" s="8">
        <f t="shared" ca="1" si="14"/>
        <v>50437</v>
      </c>
      <c r="D157" s="9">
        <f t="shared" si="12"/>
        <v>6599.5573921665746</v>
      </c>
      <c r="E157" s="9">
        <f t="shared" si="13"/>
        <v>0</v>
      </c>
      <c r="F157" s="9">
        <f t="shared" si="15"/>
        <v>2334.6881617264057</v>
      </c>
      <c r="G157" s="9">
        <f t="shared" si="16"/>
        <v>4264.8692304401684</v>
      </c>
      <c r="H157" s="9">
        <f t="shared" si="17"/>
        <v>556060.28958389722</v>
      </c>
    </row>
    <row r="158" spans="2:8" x14ac:dyDescent="0.25">
      <c r="B158" s="8">
        <f t="shared" ca="1" si="14"/>
        <v>50465</v>
      </c>
      <c r="D158" s="9">
        <f t="shared" si="12"/>
        <v>6599.5573921665746</v>
      </c>
      <c r="E158" s="9">
        <f t="shared" si="13"/>
        <v>0</v>
      </c>
      <c r="F158" s="9">
        <f t="shared" si="15"/>
        <v>2316.9178732662385</v>
      </c>
      <c r="G158" s="9">
        <f t="shared" si="16"/>
        <v>4282.639518900336</v>
      </c>
      <c r="H158" s="9">
        <f t="shared" si="17"/>
        <v>551777.65006499691</v>
      </c>
    </row>
    <row r="159" spans="2:8" x14ac:dyDescent="0.25">
      <c r="B159" s="8">
        <f t="shared" ca="1" si="14"/>
        <v>50496</v>
      </c>
      <c r="D159" s="9">
        <f t="shared" si="12"/>
        <v>6599.5573921665746</v>
      </c>
      <c r="E159" s="9">
        <f t="shared" si="13"/>
        <v>0</v>
      </c>
      <c r="F159" s="9">
        <f t="shared" si="15"/>
        <v>2299.0735419374869</v>
      </c>
      <c r="G159" s="9">
        <f t="shared" si="16"/>
        <v>4300.4838502290877</v>
      </c>
      <c r="H159" s="9">
        <f t="shared" si="17"/>
        <v>547477.16621476784</v>
      </c>
    </row>
    <row r="160" spans="2:8" x14ac:dyDescent="0.25">
      <c r="B160" s="8">
        <f t="shared" ca="1" si="14"/>
        <v>50526</v>
      </c>
      <c r="D160" s="9">
        <f t="shared" si="12"/>
        <v>6599.5573921665746</v>
      </c>
      <c r="E160" s="9">
        <f t="shared" si="13"/>
        <v>0</v>
      </c>
      <c r="F160" s="9">
        <f t="shared" si="15"/>
        <v>2281.1548592281993</v>
      </c>
      <c r="G160" s="9">
        <f t="shared" si="16"/>
        <v>4318.4025329383749</v>
      </c>
      <c r="H160" s="9">
        <f t="shared" si="17"/>
        <v>543158.76368182944</v>
      </c>
    </row>
    <row r="161" spans="2:8" x14ac:dyDescent="0.25">
      <c r="B161" s="8">
        <f t="shared" ca="1" si="14"/>
        <v>50557</v>
      </c>
      <c r="D161" s="9">
        <f t="shared" si="12"/>
        <v>6599.5573921665746</v>
      </c>
      <c r="E161" s="9">
        <f t="shared" si="13"/>
        <v>0</v>
      </c>
      <c r="F161" s="9">
        <f t="shared" si="15"/>
        <v>2263.1615153409562</v>
      </c>
      <c r="G161" s="9">
        <f t="shared" si="16"/>
        <v>4336.395876825618</v>
      </c>
      <c r="H161" s="9">
        <f t="shared" si="17"/>
        <v>538822.36780500377</v>
      </c>
    </row>
    <row r="162" spans="2:8" x14ac:dyDescent="0.25">
      <c r="B162" s="8">
        <f t="shared" ca="1" si="14"/>
        <v>50587</v>
      </c>
      <c r="D162" s="9">
        <f t="shared" si="12"/>
        <v>6599.5573921665746</v>
      </c>
      <c r="E162" s="9">
        <f t="shared" si="13"/>
        <v>0</v>
      </c>
      <c r="F162" s="9">
        <f t="shared" si="15"/>
        <v>2245.0931991875159</v>
      </c>
      <c r="G162" s="9">
        <f t="shared" si="16"/>
        <v>4354.4641929790587</v>
      </c>
      <c r="H162" s="9">
        <f t="shared" si="17"/>
        <v>534467.90361202473</v>
      </c>
    </row>
    <row r="163" spans="2:8" x14ac:dyDescent="0.25">
      <c r="B163" s="8">
        <f t="shared" ca="1" si="14"/>
        <v>50618</v>
      </c>
      <c r="D163" s="9">
        <f t="shared" si="12"/>
        <v>6599.5573921665746</v>
      </c>
      <c r="E163" s="9">
        <f t="shared" si="13"/>
        <v>0</v>
      </c>
      <c r="F163" s="9">
        <f t="shared" si="15"/>
        <v>2226.9495983834363</v>
      </c>
      <c r="G163" s="9">
        <f t="shared" si="16"/>
        <v>4372.6077937831378</v>
      </c>
      <c r="H163" s="9">
        <f t="shared" si="17"/>
        <v>530095.29581824155</v>
      </c>
    </row>
    <row r="164" spans="2:8" x14ac:dyDescent="0.25">
      <c r="B164" s="8">
        <f t="shared" ca="1" si="14"/>
        <v>50649</v>
      </c>
      <c r="D164" s="9">
        <f t="shared" si="12"/>
        <v>6599.5573921665746</v>
      </c>
      <c r="E164" s="9">
        <f t="shared" si="13"/>
        <v>0</v>
      </c>
      <c r="F164" s="9">
        <f t="shared" si="15"/>
        <v>2208.7303992426732</v>
      </c>
      <c r="G164" s="9">
        <f t="shared" si="16"/>
        <v>4390.8269929239013</v>
      </c>
      <c r="H164" s="9">
        <f t="shared" si="17"/>
        <v>525704.46882531769</v>
      </c>
    </row>
    <row r="165" spans="2:8" x14ac:dyDescent="0.25">
      <c r="B165" s="8">
        <f t="shared" ca="1" si="14"/>
        <v>50679</v>
      </c>
      <c r="D165" s="9">
        <f t="shared" si="12"/>
        <v>6599.5573921665746</v>
      </c>
      <c r="E165" s="9">
        <f t="shared" si="13"/>
        <v>0</v>
      </c>
      <c r="F165" s="9">
        <f t="shared" si="15"/>
        <v>2190.4352867721568</v>
      </c>
      <c r="G165" s="9">
        <f t="shared" si="16"/>
        <v>4409.1221053944173</v>
      </c>
      <c r="H165" s="9">
        <f t="shared" si="17"/>
        <v>521295.34671992325</v>
      </c>
    </row>
    <row r="166" spans="2:8" x14ac:dyDescent="0.25">
      <c r="B166" s="8">
        <f t="shared" ca="1" si="14"/>
        <v>50710</v>
      </c>
      <c r="D166" s="9">
        <f t="shared" si="12"/>
        <v>6599.5573921665746</v>
      </c>
      <c r="E166" s="9">
        <f t="shared" si="13"/>
        <v>0</v>
      </c>
      <c r="F166" s="9">
        <f t="shared" si="15"/>
        <v>2172.0639446663467</v>
      </c>
      <c r="G166" s="9">
        <f t="shared" si="16"/>
        <v>4427.4934475002283</v>
      </c>
      <c r="H166" s="9">
        <f t="shared" si="17"/>
        <v>516867.85327242303</v>
      </c>
    </row>
    <row r="167" spans="2:8" x14ac:dyDescent="0.25">
      <c r="B167" s="8">
        <f t="shared" ca="1" si="14"/>
        <v>50740</v>
      </c>
      <c r="D167" s="9">
        <f t="shared" si="12"/>
        <v>6599.5573921665746</v>
      </c>
      <c r="E167" s="9">
        <f t="shared" si="13"/>
        <v>0</v>
      </c>
      <c r="F167" s="9">
        <f t="shared" si="15"/>
        <v>2153.6160553017626</v>
      </c>
      <c r="G167" s="9">
        <f t="shared" si="16"/>
        <v>4445.941336864812</v>
      </c>
      <c r="H167" s="9">
        <f t="shared" si="17"/>
        <v>512421.91193555819</v>
      </c>
    </row>
    <row r="168" spans="2:8" x14ac:dyDescent="0.25">
      <c r="B168" s="8">
        <f t="shared" ca="1" si="14"/>
        <v>50771</v>
      </c>
      <c r="D168" s="9">
        <f t="shared" si="12"/>
        <v>6599.5573921665746</v>
      </c>
      <c r="E168" s="9">
        <f t="shared" si="13"/>
        <v>0</v>
      </c>
      <c r="F168" s="9">
        <f t="shared" si="15"/>
        <v>2135.0912997314927</v>
      </c>
      <c r="G168" s="9">
        <f t="shared" si="16"/>
        <v>4464.4660924350819</v>
      </c>
      <c r="H168" s="9">
        <f t="shared" si="17"/>
        <v>507957.44584312313</v>
      </c>
    </row>
    <row r="169" spans="2:8" x14ac:dyDescent="0.25">
      <c r="B169" s="8">
        <f t="shared" ca="1" si="14"/>
        <v>50802</v>
      </c>
      <c r="D169" s="9">
        <f t="shared" si="12"/>
        <v>6599.5573921665746</v>
      </c>
      <c r="E169" s="9">
        <f t="shared" si="13"/>
        <v>0</v>
      </c>
      <c r="F169" s="9">
        <f t="shared" si="15"/>
        <v>2116.4893576796799</v>
      </c>
      <c r="G169" s="9">
        <f t="shared" si="16"/>
        <v>4483.0680344868942</v>
      </c>
      <c r="H169" s="9">
        <f t="shared" si="17"/>
        <v>503474.37780863623</v>
      </c>
    </row>
    <row r="170" spans="2:8" x14ac:dyDescent="0.25">
      <c r="B170" s="8">
        <f t="shared" ca="1" si="14"/>
        <v>50830</v>
      </c>
      <c r="D170" s="9">
        <f t="shared" si="12"/>
        <v>6599.5573921665746</v>
      </c>
      <c r="E170" s="9">
        <f t="shared" si="13"/>
        <v>0</v>
      </c>
      <c r="F170" s="9">
        <f t="shared" si="15"/>
        <v>2097.8099075359842</v>
      </c>
      <c r="G170" s="9">
        <f t="shared" si="16"/>
        <v>4501.7474846305904</v>
      </c>
      <c r="H170" s="9">
        <f t="shared" si="17"/>
        <v>498972.63032400561</v>
      </c>
    </row>
    <row r="171" spans="2:8" x14ac:dyDescent="0.25">
      <c r="B171" s="8">
        <f t="shared" ca="1" si="14"/>
        <v>50861</v>
      </c>
      <c r="D171" s="9">
        <f t="shared" si="12"/>
        <v>6599.5573921665746</v>
      </c>
      <c r="E171" s="9">
        <f t="shared" si="13"/>
        <v>0</v>
      </c>
      <c r="F171" s="9">
        <f t="shared" si="15"/>
        <v>2079.0526263500233</v>
      </c>
      <c r="G171" s="9">
        <f t="shared" si="16"/>
        <v>4520.5047658165513</v>
      </c>
      <c r="H171" s="9">
        <f t="shared" si="17"/>
        <v>494452.12555818906</v>
      </c>
    </row>
    <row r="172" spans="2:8" x14ac:dyDescent="0.25">
      <c r="B172" s="8">
        <f t="shared" ca="1" si="14"/>
        <v>50891</v>
      </c>
      <c r="D172" s="9">
        <f t="shared" si="12"/>
        <v>6599.5573921665746</v>
      </c>
      <c r="E172" s="9">
        <f t="shared" si="13"/>
        <v>0</v>
      </c>
      <c r="F172" s="9">
        <f t="shared" si="15"/>
        <v>2060.2171898257875</v>
      </c>
      <c r="G172" s="9">
        <f t="shared" si="16"/>
        <v>4539.3402023407871</v>
      </c>
      <c r="H172" s="9">
        <f t="shared" si="17"/>
        <v>489912.78535584826</v>
      </c>
    </row>
    <row r="173" spans="2:8" x14ac:dyDescent="0.25">
      <c r="B173" s="8">
        <f t="shared" ca="1" si="14"/>
        <v>50922</v>
      </c>
      <c r="D173" s="9">
        <f t="shared" si="12"/>
        <v>6599.5573921665746</v>
      </c>
      <c r="E173" s="9">
        <f t="shared" si="13"/>
        <v>0</v>
      </c>
      <c r="F173" s="9">
        <f t="shared" si="15"/>
        <v>2041.3032723160343</v>
      </c>
      <c r="G173" s="9">
        <f t="shared" si="16"/>
        <v>4558.2541198505405</v>
      </c>
      <c r="H173" s="9">
        <f t="shared" si="17"/>
        <v>485354.53123599774</v>
      </c>
    </row>
    <row r="174" spans="2:8" x14ac:dyDescent="0.25">
      <c r="B174" s="8">
        <f t="shared" ca="1" si="14"/>
        <v>50952</v>
      </c>
      <c r="D174" s="9">
        <f t="shared" si="12"/>
        <v>6599.5573921665746</v>
      </c>
      <c r="E174" s="9">
        <f t="shared" si="13"/>
        <v>0</v>
      </c>
      <c r="F174" s="9">
        <f t="shared" si="15"/>
        <v>2022.3105468166573</v>
      </c>
      <c r="G174" s="9">
        <f t="shared" si="16"/>
        <v>4577.2468453499168</v>
      </c>
      <c r="H174" s="9">
        <f t="shared" si="17"/>
        <v>480777.28439064784</v>
      </c>
    </row>
    <row r="175" spans="2:8" x14ac:dyDescent="0.25">
      <c r="B175" s="8">
        <f t="shared" ca="1" si="14"/>
        <v>50983</v>
      </c>
      <c r="D175" s="9">
        <f t="shared" si="12"/>
        <v>6599.5573921665746</v>
      </c>
      <c r="E175" s="9">
        <f t="shared" si="13"/>
        <v>0</v>
      </c>
      <c r="F175" s="9">
        <f t="shared" si="15"/>
        <v>2003.2386849610327</v>
      </c>
      <c r="G175" s="9">
        <f t="shared" si="16"/>
        <v>4596.3187072055416</v>
      </c>
      <c r="H175" s="9">
        <f t="shared" si="17"/>
        <v>476180.96568344231</v>
      </c>
    </row>
    <row r="176" spans="2:8" x14ac:dyDescent="0.25">
      <c r="B176" s="8">
        <f t="shared" ca="1" si="14"/>
        <v>51014</v>
      </c>
      <c r="D176" s="9">
        <f t="shared" si="12"/>
        <v>6599.5573921665746</v>
      </c>
      <c r="E176" s="9">
        <f t="shared" si="13"/>
        <v>0</v>
      </c>
      <c r="F176" s="9">
        <f t="shared" si="15"/>
        <v>1984.0873570143428</v>
      </c>
      <c r="G176" s="9">
        <f t="shared" si="16"/>
        <v>4615.4700351522315</v>
      </c>
      <c r="H176" s="9">
        <f t="shared" si="17"/>
        <v>471565.49564829009</v>
      </c>
    </row>
    <row r="177" spans="2:8" x14ac:dyDescent="0.25">
      <c r="B177" s="8">
        <f t="shared" ca="1" si="14"/>
        <v>51044</v>
      </c>
      <c r="D177" s="9">
        <f t="shared" si="12"/>
        <v>6599.5573921665746</v>
      </c>
      <c r="E177" s="9">
        <f t="shared" si="13"/>
        <v>0</v>
      </c>
      <c r="F177" s="9">
        <f t="shared" si="15"/>
        <v>1964.8562318678753</v>
      </c>
      <c r="G177" s="9">
        <f t="shared" si="16"/>
        <v>4634.7011602986995</v>
      </c>
      <c r="H177" s="9">
        <f t="shared" si="17"/>
        <v>466930.79448799137</v>
      </c>
    </row>
    <row r="178" spans="2:8" x14ac:dyDescent="0.25">
      <c r="B178" s="8">
        <f t="shared" ca="1" si="14"/>
        <v>51075</v>
      </c>
      <c r="D178" s="9">
        <f t="shared" si="12"/>
        <v>6599.5573921665746</v>
      </c>
      <c r="E178" s="9">
        <f t="shared" si="13"/>
        <v>0</v>
      </c>
      <c r="F178" s="9">
        <f t="shared" si="15"/>
        <v>1945.5449770332973</v>
      </c>
      <c r="G178" s="9">
        <f t="shared" si="16"/>
        <v>4654.0124151332775</v>
      </c>
      <c r="H178" s="9">
        <f t="shared" si="17"/>
        <v>462276.78207285807</v>
      </c>
    </row>
    <row r="179" spans="2:8" x14ac:dyDescent="0.25">
      <c r="B179" s="8">
        <f t="shared" ca="1" si="14"/>
        <v>51105</v>
      </c>
      <c r="D179" s="9">
        <f t="shared" si="12"/>
        <v>6599.5573921665746</v>
      </c>
      <c r="E179" s="9">
        <f t="shared" si="13"/>
        <v>0</v>
      </c>
      <c r="F179" s="9">
        <f t="shared" si="15"/>
        <v>1926.1532586369085</v>
      </c>
      <c r="G179" s="9">
        <f t="shared" si="16"/>
        <v>4673.4041335296661</v>
      </c>
      <c r="H179" s="9">
        <f t="shared" si="17"/>
        <v>457603.37793932838</v>
      </c>
    </row>
    <row r="180" spans="2:8" x14ac:dyDescent="0.25">
      <c r="B180" s="8">
        <f t="shared" ca="1" si="14"/>
        <v>51136</v>
      </c>
      <c r="D180" s="9">
        <f t="shared" si="12"/>
        <v>6599.5573921665746</v>
      </c>
      <c r="E180" s="9">
        <f t="shared" si="13"/>
        <v>0</v>
      </c>
      <c r="F180" s="9">
        <f t="shared" si="15"/>
        <v>1906.6807414138682</v>
      </c>
      <c r="G180" s="9">
        <f t="shared" si="16"/>
        <v>4692.8766507527062</v>
      </c>
      <c r="H180" s="9">
        <f t="shared" si="17"/>
        <v>452910.50128857564</v>
      </c>
    </row>
    <row r="181" spans="2:8" x14ac:dyDescent="0.25">
      <c r="B181" s="8">
        <f t="shared" ca="1" si="14"/>
        <v>51167</v>
      </c>
      <c r="D181" s="9">
        <f t="shared" si="12"/>
        <v>6599.5573921665746</v>
      </c>
      <c r="E181" s="9">
        <f t="shared" si="13"/>
        <v>0</v>
      </c>
      <c r="F181" s="9">
        <f t="shared" si="15"/>
        <v>1887.1270887023984</v>
      </c>
      <c r="G181" s="9">
        <f t="shared" si="16"/>
        <v>4712.4303034641762</v>
      </c>
      <c r="H181" s="9">
        <f t="shared" si="17"/>
        <v>448198.07098511147</v>
      </c>
    </row>
    <row r="182" spans="2:8" x14ac:dyDescent="0.25">
      <c r="B182" s="8">
        <f t="shared" ca="1" si="14"/>
        <v>51196</v>
      </c>
      <c r="D182" s="9">
        <f t="shared" si="12"/>
        <v>6599.5573921665746</v>
      </c>
      <c r="E182" s="9">
        <f t="shared" si="13"/>
        <v>0</v>
      </c>
      <c r="F182" s="9">
        <f t="shared" si="15"/>
        <v>1867.4919624379645</v>
      </c>
      <c r="G182" s="9">
        <f t="shared" si="16"/>
        <v>4732.0654297286101</v>
      </c>
      <c r="H182" s="9">
        <f t="shared" si="17"/>
        <v>443466.00555538287</v>
      </c>
    </row>
    <row r="183" spans="2:8" x14ac:dyDescent="0.25">
      <c r="B183" s="8">
        <f t="shared" ca="1" si="14"/>
        <v>51227</v>
      </c>
      <c r="D183" s="9">
        <f t="shared" si="12"/>
        <v>6599.5573921665746</v>
      </c>
      <c r="E183" s="9">
        <f t="shared" si="13"/>
        <v>0</v>
      </c>
      <c r="F183" s="9">
        <f t="shared" si="15"/>
        <v>1847.7750231474286</v>
      </c>
      <c r="G183" s="9">
        <f t="shared" si="16"/>
        <v>4751.7823690191462</v>
      </c>
      <c r="H183" s="9">
        <f t="shared" si="17"/>
        <v>438714.2231863637</v>
      </c>
    </row>
    <row r="184" spans="2:8" x14ac:dyDescent="0.25">
      <c r="B184" s="8">
        <f t="shared" ca="1" si="14"/>
        <v>51257</v>
      </c>
      <c r="D184" s="9">
        <f t="shared" si="12"/>
        <v>6599.5573921665746</v>
      </c>
      <c r="E184" s="9">
        <f t="shared" si="13"/>
        <v>0</v>
      </c>
      <c r="F184" s="9">
        <f t="shared" si="15"/>
        <v>1827.9759299431821</v>
      </c>
      <c r="G184" s="9">
        <f t="shared" si="16"/>
        <v>4771.581462223392</v>
      </c>
      <c r="H184" s="9">
        <f t="shared" si="17"/>
        <v>433942.64172414033</v>
      </c>
    </row>
    <row r="185" spans="2:8" x14ac:dyDescent="0.25">
      <c r="B185" s="8">
        <f t="shared" ca="1" si="14"/>
        <v>51288</v>
      </c>
      <c r="D185" s="9">
        <f t="shared" si="12"/>
        <v>6599.5573921665746</v>
      </c>
      <c r="E185" s="9">
        <f t="shared" si="13"/>
        <v>0</v>
      </c>
      <c r="F185" s="9">
        <f t="shared" si="15"/>
        <v>1808.0943405172513</v>
      </c>
      <c r="G185" s="9">
        <f t="shared" si="16"/>
        <v>4791.4630516493235</v>
      </c>
      <c r="H185" s="9">
        <f t="shared" si="17"/>
        <v>429151.17867249099</v>
      </c>
    </row>
    <row r="186" spans="2:8" x14ac:dyDescent="0.25">
      <c r="B186" s="8">
        <f t="shared" ca="1" si="14"/>
        <v>51318</v>
      </c>
      <c r="D186" s="9">
        <f t="shared" si="12"/>
        <v>6599.5573921665746</v>
      </c>
      <c r="E186" s="9">
        <f t="shared" si="13"/>
        <v>0</v>
      </c>
      <c r="F186" s="9">
        <f t="shared" si="15"/>
        <v>1788.1299111353792</v>
      </c>
      <c r="G186" s="9">
        <f t="shared" si="16"/>
        <v>4811.4274810311954</v>
      </c>
      <c r="H186" s="9">
        <f t="shared" si="17"/>
        <v>424339.75119145977</v>
      </c>
    </row>
    <row r="187" spans="2:8" x14ac:dyDescent="0.25">
      <c r="B187" s="8">
        <f t="shared" ca="1" si="14"/>
        <v>51349</v>
      </c>
      <c r="D187" s="9">
        <f t="shared" si="12"/>
        <v>6599.5573921665746</v>
      </c>
      <c r="E187" s="9">
        <f t="shared" si="13"/>
        <v>0</v>
      </c>
      <c r="F187" s="9">
        <f t="shared" si="15"/>
        <v>1768.0822966310823</v>
      </c>
      <c r="G187" s="9">
        <f t="shared" si="16"/>
        <v>4831.4750955354921</v>
      </c>
      <c r="H187" s="9">
        <f t="shared" si="17"/>
        <v>419508.27609592426</v>
      </c>
    </row>
    <row r="188" spans="2:8" x14ac:dyDescent="0.25">
      <c r="B188" s="8">
        <f t="shared" ca="1" si="14"/>
        <v>51380</v>
      </c>
      <c r="D188" s="9">
        <f t="shared" si="12"/>
        <v>6599.5573921665746</v>
      </c>
      <c r="E188" s="9">
        <f t="shared" si="13"/>
        <v>0</v>
      </c>
      <c r="F188" s="9">
        <f t="shared" si="15"/>
        <v>1747.9511503996844</v>
      </c>
      <c r="G188" s="9">
        <f t="shared" si="16"/>
        <v>4851.60624176689</v>
      </c>
      <c r="H188" s="9">
        <f t="shared" si="17"/>
        <v>414656.66985415737</v>
      </c>
    </row>
    <row r="189" spans="2:8" x14ac:dyDescent="0.25">
      <c r="B189" s="8">
        <f t="shared" ca="1" si="14"/>
        <v>51410</v>
      </c>
      <c r="D189" s="9">
        <f t="shared" si="12"/>
        <v>6599.5573921665746</v>
      </c>
      <c r="E189" s="9">
        <f t="shared" si="13"/>
        <v>0</v>
      </c>
      <c r="F189" s="9">
        <f t="shared" si="15"/>
        <v>1727.7361243923224</v>
      </c>
      <c r="G189" s="9">
        <f t="shared" si="16"/>
        <v>4871.8212677742522</v>
      </c>
      <c r="H189" s="9">
        <f t="shared" si="17"/>
        <v>409784.8485863831</v>
      </c>
    </row>
    <row r="190" spans="2:8" x14ac:dyDescent="0.25">
      <c r="B190" s="8">
        <f t="shared" ca="1" si="14"/>
        <v>51441</v>
      </c>
      <c r="D190" s="9">
        <f t="shared" si="12"/>
        <v>6599.5573921665746</v>
      </c>
      <c r="E190" s="9">
        <f t="shared" si="13"/>
        <v>0</v>
      </c>
      <c r="F190" s="9">
        <f t="shared" si="15"/>
        <v>1707.4368691099296</v>
      </c>
      <c r="G190" s="9">
        <f t="shared" si="16"/>
        <v>4892.1205230566447</v>
      </c>
      <c r="H190" s="9">
        <f t="shared" si="17"/>
        <v>404892.72806332645</v>
      </c>
    </row>
    <row r="191" spans="2:8" x14ac:dyDescent="0.25">
      <c r="B191" s="8">
        <f t="shared" ca="1" si="14"/>
        <v>51471</v>
      </c>
      <c r="D191" s="9">
        <f t="shared" si="12"/>
        <v>6599.5573921665746</v>
      </c>
      <c r="E191" s="9">
        <f t="shared" si="13"/>
        <v>0</v>
      </c>
      <c r="F191" s="9">
        <f t="shared" si="15"/>
        <v>1687.0530335971935</v>
      </c>
      <c r="G191" s="9">
        <f t="shared" si="16"/>
        <v>4912.5043585693811</v>
      </c>
      <c r="H191" s="9">
        <f t="shared" si="17"/>
        <v>399980.22370475705</v>
      </c>
    </row>
    <row r="192" spans="2:8" x14ac:dyDescent="0.25">
      <c r="B192" s="8">
        <f t="shared" ca="1" si="14"/>
        <v>51502</v>
      </c>
      <c r="D192" s="9">
        <f t="shared" si="12"/>
        <v>6599.5573921665746</v>
      </c>
      <c r="E192" s="9">
        <f t="shared" si="13"/>
        <v>0</v>
      </c>
      <c r="F192" s="9">
        <f t="shared" si="15"/>
        <v>1666.5842654364876</v>
      </c>
      <c r="G192" s="9">
        <f t="shared" si="16"/>
        <v>4932.9731267300867</v>
      </c>
      <c r="H192" s="9">
        <f t="shared" si="17"/>
        <v>395047.25057802699</v>
      </c>
    </row>
    <row r="193" spans="2:8" x14ac:dyDescent="0.25">
      <c r="B193" s="8">
        <f t="shared" ca="1" si="14"/>
        <v>51533</v>
      </c>
      <c r="D193" s="9">
        <f t="shared" si="12"/>
        <v>6599.5573921665746</v>
      </c>
      <c r="E193" s="9">
        <f t="shared" si="13"/>
        <v>0</v>
      </c>
      <c r="F193" s="9">
        <f t="shared" si="15"/>
        <v>1646.030210741779</v>
      </c>
      <c r="G193" s="9">
        <f t="shared" si="16"/>
        <v>4953.5271814247953</v>
      </c>
      <c r="H193" s="9">
        <f t="shared" si="17"/>
        <v>390093.7233966022</v>
      </c>
    </row>
    <row r="194" spans="2:8" x14ac:dyDescent="0.25">
      <c r="B194" s="8">
        <f t="shared" ca="1" si="14"/>
        <v>51561</v>
      </c>
      <c r="D194" s="9">
        <f t="shared" si="12"/>
        <v>6599.5573921665746</v>
      </c>
      <c r="E194" s="9">
        <f t="shared" si="13"/>
        <v>0</v>
      </c>
      <c r="F194" s="9">
        <f t="shared" si="15"/>
        <v>1625.3905141525092</v>
      </c>
      <c r="G194" s="9">
        <f t="shared" si="16"/>
        <v>4974.1668780140653</v>
      </c>
      <c r="H194" s="9">
        <f t="shared" si="17"/>
        <v>385119.55651858816</v>
      </c>
    </row>
    <row r="195" spans="2:8" x14ac:dyDescent="0.25">
      <c r="B195" s="8">
        <f t="shared" ca="1" si="14"/>
        <v>51592</v>
      </c>
      <c r="D195" s="9">
        <f t="shared" si="12"/>
        <v>6599.5573921665746</v>
      </c>
      <c r="E195" s="9">
        <f t="shared" si="13"/>
        <v>0</v>
      </c>
      <c r="F195" s="9">
        <f t="shared" si="15"/>
        <v>1604.6648188274507</v>
      </c>
      <c r="G195" s="9">
        <f t="shared" si="16"/>
        <v>4994.8925733391243</v>
      </c>
      <c r="H195" s="9">
        <f t="shared" si="17"/>
        <v>380124.66394524905</v>
      </c>
    </row>
    <row r="196" spans="2:8" x14ac:dyDescent="0.25">
      <c r="B196" s="8">
        <f t="shared" ca="1" si="14"/>
        <v>51622</v>
      </c>
      <c r="D196" s="9">
        <f t="shared" si="12"/>
        <v>6599.5573921665746</v>
      </c>
      <c r="E196" s="9">
        <f t="shared" si="13"/>
        <v>0</v>
      </c>
      <c r="F196" s="9">
        <f t="shared" si="15"/>
        <v>1583.8527664385376</v>
      </c>
      <c r="G196" s="9">
        <f t="shared" si="16"/>
        <v>5015.7046257280372</v>
      </c>
      <c r="H196" s="9">
        <f t="shared" si="17"/>
        <v>375108.95931952103</v>
      </c>
    </row>
    <row r="197" spans="2:8" x14ac:dyDescent="0.25">
      <c r="B197" s="8">
        <f t="shared" ca="1" si="14"/>
        <v>51653</v>
      </c>
      <c r="D197" s="9">
        <f t="shared" si="12"/>
        <v>6599.5573921665746</v>
      </c>
      <c r="E197" s="9">
        <f t="shared" si="13"/>
        <v>0</v>
      </c>
      <c r="F197" s="9">
        <f t="shared" si="15"/>
        <v>1562.9539971646709</v>
      </c>
      <c r="G197" s="9">
        <f t="shared" si="16"/>
        <v>5036.6033950019037</v>
      </c>
      <c r="H197" s="9">
        <f t="shared" si="17"/>
        <v>370072.35592451913</v>
      </c>
    </row>
    <row r="198" spans="2:8" x14ac:dyDescent="0.25">
      <c r="B198" s="8">
        <f t="shared" ca="1" si="14"/>
        <v>51683</v>
      </c>
      <c r="D198" s="9">
        <f t="shared" si="12"/>
        <v>6599.5573921665746</v>
      </c>
      <c r="E198" s="9">
        <f t="shared" si="13"/>
        <v>0</v>
      </c>
      <c r="F198" s="9">
        <f t="shared" si="15"/>
        <v>1541.9681496854964</v>
      </c>
      <c r="G198" s="9">
        <f t="shared" si="16"/>
        <v>5057.5892424810781</v>
      </c>
      <c r="H198" s="9">
        <f t="shared" si="17"/>
        <v>365014.76668203803</v>
      </c>
    </row>
    <row r="199" spans="2:8" x14ac:dyDescent="0.25">
      <c r="B199" s="8">
        <f t="shared" ca="1" si="14"/>
        <v>51714</v>
      </c>
      <c r="D199" s="9">
        <f t="shared" si="12"/>
        <v>6599.5573921665746</v>
      </c>
      <c r="E199" s="9">
        <f t="shared" si="13"/>
        <v>0</v>
      </c>
      <c r="F199" s="9">
        <f t="shared" si="15"/>
        <v>1520.8948611751584</v>
      </c>
      <c r="G199" s="9">
        <f t="shared" si="16"/>
        <v>5078.6625309914161</v>
      </c>
      <c r="H199" s="9">
        <f t="shared" si="17"/>
        <v>359936.1041510466</v>
      </c>
    </row>
    <row r="200" spans="2:8" x14ac:dyDescent="0.25">
      <c r="B200" s="8">
        <f t="shared" ca="1" si="14"/>
        <v>51745</v>
      </c>
      <c r="D200" s="9">
        <f t="shared" si="12"/>
        <v>6599.5573921665746</v>
      </c>
      <c r="E200" s="9">
        <f t="shared" si="13"/>
        <v>0</v>
      </c>
      <c r="F200" s="9">
        <f t="shared" si="15"/>
        <v>1499.7337672960275</v>
      </c>
      <c r="G200" s="9">
        <f t="shared" si="16"/>
        <v>5099.8236248705471</v>
      </c>
      <c r="H200" s="9">
        <f t="shared" si="17"/>
        <v>354836.28052617604</v>
      </c>
    </row>
    <row r="201" spans="2:8" x14ac:dyDescent="0.25">
      <c r="B201" s="8">
        <f t="shared" ca="1" si="14"/>
        <v>51775</v>
      </c>
      <c r="D201" s="9">
        <f t="shared" si="12"/>
        <v>6599.5573921665746</v>
      </c>
      <c r="E201" s="9">
        <f t="shared" si="13"/>
        <v>0</v>
      </c>
      <c r="F201" s="9">
        <f t="shared" si="15"/>
        <v>1478.4845021924002</v>
      </c>
      <c r="G201" s="9">
        <f t="shared" si="16"/>
        <v>5121.0728899741744</v>
      </c>
      <c r="H201" s="9">
        <f t="shared" si="17"/>
        <v>349715.20763620187</v>
      </c>
    </row>
    <row r="202" spans="2:8" x14ac:dyDescent="0.25">
      <c r="B202" s="8">
        <f t="shared" ca="1" si="14"/>
        <v>51806</v>
      </c>
      <c r="D202" s="9">
        <f t="shared" si="12"/>
        <v>6599.5573921665746</v>
      </c>
      <c r="E202" s="9">
        <f t="shared" si="13"/>
        <v>0</v>
      </c>
      <c r="F202" s="9">
        <f t="shared" si="15"/>
        <v>1457.1466984841745</v>
      </c>
      <c r="G202" s="9">
        <f t="shared" si="16"/>
        <v>5142.4106936824001</v>
      </c>
      <c r="H202" s="9">
        <f t="shared" si="17"/>
        <v>344572.79694251949</v>
      </c>
    </row>
    <row r="203" spans="2:8" x14ac:dyDescent="0.25">
      <c r="B203" s="8">
        <f t="shared" ca="1" si="14"/>
        <v>51836</v>
      </c>
      <c r="D203" s="9">
        <f t="shared" si="12"/>
        <v>6599.5573921665746</v>
      </c>
      <c r="E203" s="9">
        <f t="shared" si="13"/>
        <v>0</v>
      </c>
      <c r="F203" s="9">
        <f t="shared" si="15"/>
        <v>1435.7199872604979</v>
      </c>
      <c r="G203" s="9">
        <f t="shared" si="16"/>
        <v>5163.8374049060767</v>
      </c>
      <c r="H203" s="9">
        <f t="shared" si="17"/>
        <v>339408.95953761344</v>
      </c>
    </row>
    <row r="204" spans="2:8" x14ac:dyDescent="0.25">
      <c r="B204" s="8">
        <f t="shared" ca="1" si="14"/>
        <v>51867</v>
      </c>
      <c r="D204" s="9">
        <f t="shared" si="12"/>
        <v>6599.5573921665746</v>
      </c>
      <c r="E204" s="9">
        <f t="shared" si="13"/>
        <v>0</v>
      </c>
      <c r="F204" s="9">
        <f t="shared" si="15"/>
        <v>1414.2039980733894</v>
      </c>
      <c r="G204" s="9">
        <f t="shared" si="16"/>
        <v>5185.3533940931848</v>
      </c>
      <c r="H204" s="9">
        <f t="shared" si="17"/>
        <v>334223.60614352027</v>
      </c>
    </row>
    <row r="205" spans="2:8" x14ac:dyDescent="0.25">
      <c r="B205" s="8">
        <f t="shared" ca="1" si="14"/>
        <v>51898</v>
      </c>
      <c r="D205" s="9">
        <f t="shared" si="12"/>
        <v>6599.5573921665746</v>
      </c>
      <c r="E205" s="9">
        <f t="shared" si="13"/>
        <v>0</v>
      </c>
      <c r="F205" s="9">
        <f t="shared" si="15"/>
        <v>1392.5983589313344</v>
      </c>
      <c r="G205" s="9">
        <f t="shared" si="16"/>
        <v>5206.95903323524</v>
      </c>
      <c r="H205" s="9">
        <f t="shared" si="17"/>
        <v>329016.647110285</v>
      </c>
    </row>
    <row r="206" spans="2:8" x14ac:dyDescent="0.25">
      <c r="B206" s="8">
        <f t="shared" ca="1" si="14"/>
        <v>51926</v>
      </c>
      <c r="D206" s="9">
        <f t="shared" si="12"/>
        <v>6599.5573921665746</v>
      </c>
      <c r="E206" s="9">
        <f t="shared" si="13"/>
        <v>0</v>
      </c>
      <c r="F206" s="9">
        <f t="shared" si="15"/>
        <v>1370.9026962928542</v>
      </c>
      <c r="G206" s="9">
        <f t="shared" si="16"/>
        <v>5228.6546958737199</v>
      </c>
      <c r="H206" s="9">
        <f t="shared" si="17"/>
        <v>323787.99241441127</v>
      </c>
    </row>
    <row r="207" spans="2:8" x14ac:dyDescent="0.25">
      <c r="B207" s="8">
        <f t="shared" ca="1" si="14"/>
        <v>51957</v>
      </c>
      <c r="D207" s="9">
        <f t="shared" si="12"/>
        <v>6599.5573921665746</v>
      </c>
      <c r="E207" s="9">
        <f t="shared" si="13"/>
        <v>0</v>
      </c>
      <c r="F207" s="9">
        <f t="shared" si="15"/>
        <v>1349.116635060047</v>
      </c>
      <c r="G207" s="9">
        <f t="shared" si="16"/>
        <v>5250.4407571065276</v>
      </c>
      <c r="H207" s="9">
        <f t="shared" si="17"/>
        <v>318537.55165730475</v>
      </c>
    </row>
    <row r="208" spans="2:8" x14ac:dyDescent="0.25">
      <c r="B208" s="8">
        <f t="shared" ca="1" si="14"/>
        <v>51987</v>
      </c>
      <c r="D208" s="9">
        <f t="shared" si="12"/>
        <v>6599.5573921665746</v>
      </c>
      <c r="E208" s="9">
        <f t="shared" si="13"/>
        <v>0</v>
      </c>
      <c r="F208" s="9">
        <f t="shared" si="15"/>
        <v>1327.2397985721032</v>
      </c>
      <c r="G208" s="9">
        <f t="shared" si="16"/>
        <v>5272.317593594471</v>
      </c>
      <c r="H208" s="9">
        <f t="shared" si="17"/>
        <v>313265.23406371026</v>
      </c>
    </row>
    <row r="209" spans="2:8" x14ac:dyDescent="0.25">
      <c r="B209" s="8">
        <f t="shared" ca="1" si="14"/>
        <v>52018</v>
      </c>
      <c r="D209" s="9">
        <f t="shared" si="12"/>
        <v>6599.5573921665746</v>
      </c>
      <c r="E209" s="9">
        <f t="shared" si="13"/>
        <v>0</v>
      </c>
      <c r="F209" s="9">
        <f t="shared" si="15"/>
        <v>1305.2718085987926</v>
      </c>
      <c r="G209" s="9">
        <f t="shared" si="16"/>
        <v>5294.2855835677819</v>
      </c>
      <c r="H209" s="9">
        <f t="shared" si="17"/>
        <v>307970.94848014246</v>
      </c>
    </row>
    <row r="210" spans="2:8" x14ac:dyDescent="0.25">
      <c r="B210" s="8">
        <f t="shared" ca="1" si="14"/>
        <v>52048</v>
      </c>
      <c r="D210" s="9">
        <f t="shared" si="12"/>
        <v>6599.5573921665746</v>
      </c>
      <c r="E210" s="9">
        <f t="shared" si="13"/>
        <v>0</v>
      </c>
      <c r="F210" s="9">
        <f t="shared" si="15"/>
        <v>1283.212285333927</v>
      </c>
      <c r="G210" s="9">
        <f t="shared" si="16"/>
        <v>5316.3451068326476</v>
      </c>
      <c r="H210" s="9">
        <f t="shared" si="17"/>
        <v>302654.60337330983</v>
      </c>
    </row>
    <row r="211" spans="2:8" x14ac:dyDescent="0.25">
      <c r="B211" s="8">
        <f t="shared" ca="1" si="14"/>
        <v>52079</v>
      </c>
      <c r="D211" s="9">
        <f t="shared" si="12"/>
        <v>6599.5573921665746</v>
      </c>
      <c r="E211" s="9">
        <f t="shared" si="13"/>
        <v>0</v>
      </c>
      <c r="F211" s="9">
        <f t="shared" si="15"/>
        <v>1261.060847388791</v>
      </c>
      <c r="G211" s="9">
        <f t="shared" si="16"/>
        <v>5338.4965447777831</v>
      </c>
      <c r="H211" s="9">
        <f t="shared" si="17"/>
        <v>297316.10682853207</v>
      </c>
    </row>
    <row r="212" spans="2:8" x14ac:dyDescent="0.25">
      <c r="B212" s="8">
        <f t="shared" ca="1" si="14"/>
        <v>52110</v>
      </c>
      <c r="D212" s="9">
        <f t="shared" si="12"/>
        <v>6599.5573921665746</v>
      </c>
      <c r="E212" s="9">
        <f t="shared" si="13"/>
        <v>0</v>
      </c>
      <c r="F212" s="9">
        <f t="shared" si="15"/>
        <v>1238.8171117855502</v>
      </c>
      <c r="G212" s="9">
        <f t="shared" si="16"/>
        <v>5360.7402803810246</v>
      </c>
      <c r="H212" s="9">
        <f t="shared" si="17"/>
        <v>291955.36654815107</v>
      </c>
    </row>
    <row r="213" spans="2:8" x14ac:dyDescent="0.25">
      <c r="B213" s="8">
        <f t="shared" ca="1" si="14"/>
        <v>52140</v>
      </c>
      <c r="D213" s="9">
        <f t="shared" si="12"/>
        <v>6599.5573921665746</v>
      </c>
      <c r="E213" s="9">
        <f t="shared" si="13"/>
        <v>0</v>
      </c>
      <c r="F213" s="9">
        <f t="shared" si="15"/>
        <v>1216.4806939506295</v>
      </c>
      <c r="G213" s="9">
        <f t="shared" si="16"/>
        <v>5383.0766982159448</v>
      </c>
      <c r="H213" s="9">
        <f t="shared" si="17"/>
        <v>286572.2898499351</v>
      </c>
    </row>
    <row r="214" spans="2:8" x14ac:dyDescent="0.25">
      <c r="B214" s="8">
        <f t="shared" ca="1" si="14"/>
        <v>52171</v>
      </c>
      <c r="D214" s="9">
        <f t="shared" si="12"/>
        <v>6599.5573921665746</v>
      </c>
      <c r="E214" s="9">
        <f t="shared" si="13"/>
        <v>0</v>
      </c>
      <c r="F214" s="9">
        <f t="shared" si="15"/>
        <v>1194.051207708063</v>
      </c>
      <c r="G214" s="9">
        <f t="shared" si="16"/>
        <v>5405.5061844585116</v>
      </c>
      <c r="H214" s="9">
        <f t="shared" si="17"/>
        <v>281166.7836654766</v>
      </c>
    </row>
    <row r="215" spans="2:8" x14ac:dyDescent="0.25">
      <c r="B215" s="8">
        <f t="shared" ca="1" si="14"/>
        <v>52201</v>
      </c>
      <c r="D215" s="9">
        <f t="shared" ref="D215:D261" si="18">$D$12</f>
        <v>6599.5573921665746</v>
      </c>
      <c r="E215" s="9">
        <f t="shared" ref="E215:E261" si="19">MAX(0,D215-$D$12)</f>
        <v>0</v>
      </c>
      <c r="F215" s="9">
        <f t="shared" si="15"/>
        <v>1171.5282652728192</v>
      </c>
      <c r="G215" s="9">
        <f t="shared" si="16"/>
        <v>5428.0291268937553</v>
      </c>
      <c r="H215" s="9">
        <f t="shared" si="17"/>
        <v>275738.75453858287</v>
      </c>
    </row>
    <row r="216" spans="2:8" x14ac:dyDescent="0.25">
      <c r="B216" s="8">
        <f t="shared" ref="B216:B261" ca="1" si="20">EOMONTH(B215,0)+1</f>
        <v>52232</v>
      </c>
      <c r="D216" s="9">
        <f t="shared" si="18"/>
        <v>6599.5573921665746</v>
      </c>
      <c r="E216" s="9">
        <f t="shared" si="19"/>
        <v>0</v>
      </c>
      <c r="F216" s="9">
        <f t="shared" ref="F216:F261" si="21">H215*($D$10/12)</f>
        <v>1148.9114772440953</v>
      </c>
      <c r="G216" s="9">
        <f t="shared" ref="G216:G261" si="22">D216-F216</f>
        <v>5450.6459149224793</v>
      </c>
      <c r="H216" s="9">
        <f t="shared" ref="H216:H261" si="23">H215-G216</f>
        <v>270288.1086236604</v>
      </c>
    </row>
    <row r="217" spans="2:8" x14ac:dyDescent="0.25">
      <c r="B217" s="8">
        <f t="shared" ca="1" si="20"/>
        <v>52263</v>
      </c>
      <c r="D217" s="9">
        <f t="shared" si="18"/>
        <v>6599.5573921665746</v>
      </c>
      <c r="E217" s="9">
        <f t="shared" si="19"/>
        <v>0</v>
      </c>
      <c r="F217" s="9">
        <f t="shared" si="21"/>
        <v>1126.2004525985849</v>
      </c>
      <c r="G217" s="9">
        <f t="shared" si="22"/>
        <v>5473.3569395679897</v>
      </c>
      <c r="H217" s="9">
        <f t="shared" si="23"/>
        <v>264814.75168409239</v>
      </c>
    </row>
    <row r="218" spans="2:8" x14ac:dyDescent="0.25">
      <c r="B218" s="8">
        <f t="shared" ca="1" si="20"/>
        <v>52291</v>
      </c>
      <c r="D218" s="9">
        <f t="shared" si="18"/>
        <v>6599.5573921665746</v>
      </c>
      <c r="E218" s="9">
        <f t="shared" si="19"/>
        <v>0</v>
      </c>
      <c r="F218" s="9">
        <f t="shared" si="21"/>
        <v>1103.3947986837184</v>
      </c>
      <c r="G218" s="9">
        <f t="shared" si="22"/>
        <v>5496.1625934828562</v>
      </c>
      <c r="H218" s="9">
        <f t="shared" si="23"/>
        <v>259318.58909060954</v>
      </c>
    </row>
    <row r="219" spans="2:8" x14ac:dyDescent="0.25">
      <c r="B219" s="8">
        <f t="shared" ca="1" si="20"/>
        <v>52322</v>
      </c>
      <c r="D219" s="9">
        <f t="shared" si="18"/>
        <v>6599.5573921665746</v>
      </c>
      <c r="E219" s="9">
        <f t="shared" si="19"/>
        <v>0</v>
      </c>
      <c r="F219" s="9">
        <f t="shared" si="21"/>
        <v>1080.4941212108731</v>
      </c>
      <c r="G219" s="9">
        <f t="shared" si="22"/>
        <v>5519.0632709557012</v>
      </c>
      <c r="H219" s="9">
        <f t="shared" si="23"/>
        <v>253799.52581965385</v>
      </c>
    </row>
    <row r="220" spans="2:8" x14ac:dyDescent="0.25">
      <c r="B220" s="8">
        <f t="shared" ca="1" si="20"/>
        <v>52352</v>
      </c>
      <c r="D220" s="9">
        <f t="shared" si="18"/>
        <v>6599.5573921665746</v>
      </c>
      <c r="E220" s="9">
        <f t="shared" si="19"/>
        <v>0</v>
      </c>
      <c r="F220" s="9">
        <f t="shared" si="21"/>
        <v>1057.4980242485576</v>
      </c>
      <c r="G220" s="9">
        <f t="shared" si="22"/>
        <v>5542.0593679180165</v>
      </c>
      <c r="H220" s="9">
        <f t="shared" si="23"/>
        <v>248257.46645173582</v>
      </c>
    </row>
    <row r="221" spans="2:8" x14ac:dyDescent="0.25">
      <c r="B221" s="8">
        <f t="shared" ca="1" si="20"/>
        <v>52383</v>
      </c>
      <c r="D221" s="9">
        <f t="shared" si="18"/>
        <v>6599.5573921665746</v>
      </c>
      <c r="E221" s="9">
        <f t="shared" si="19"/>
        <v>0</v>
      </c>
      <c r="F221" s="9">
        <f t="shared" si="21"/>
        <v>1034.4061102155658</v>
      </c>
      <c r="G221" s="9">
        <f t="shared" si="22"/>
        <v>5565.151281951009</v>
      </c>
      <c r="H221" s="9">
        <f t="shared" si="23"/>
        <v>242692.31516978482</v>
      </c>
    </row>
    <row r="222" spans="2:8" x14ac:dyDescent="0.25">
      <c r="B222" s="8">
        <f t="shared" ca="1" si="20"/>
        <v>52413</v>
      </c>
      <c r="D222" s="9">
        <f t="shared" si="18"/>
        <v>6599.5573921665746</v>
      </c>
      <c r="E222" s="9">
        <f t="shared" si="19"/>
        <v>0</v>
      </c>
      <c r="F222" s="9">
        <f t="shared" si="21"/>
        <v>1011.2179798741034</v>
      </c>
      <c r="G222" s="9">
        <f t="shared" si="22"/>
        <v>5588.339412292471</v>
      </c>
      <c r="H222" s="9">
        <f t="shared" si="23"/>
        <v>237103.97575749236</v>
      </c>
    </row>
    <row r="223" spans="2:8" x14ac:dyDescent="0.25">
      <c r="B223" s="8">
        <f t="shared" ca="1" si="20"/>
        <v>52444</v>
      </c>
      <c r="D223" s="9">
        <f t="shared" si="18"/>
        <v>6599.5573921665746</v>
      </c>
      <c r="E223" s="9">
        <f t="shared" si="19"/>
        <v>0</v>
      </c>
      <c r="F223" s="9">
        <f t="shared" si="21"/>
        <v>987.93323232288481</v>
      </c>
      <c r="G223" s="9">
        <f t="shared" si="22"/>
        <v>5611.62415984369</v>
      </c>
      <c r="H223" s="9">
        <f t="shared" si="23"/>
        <v>231492.35159764867</v>
      </c>
    </row>
    <row r="224" spans="2:8" x14ac:dyDescent="0.25">
      <c r="B224" s="8">
        <f t="shared" ca="1" si="20"/>
        <v>52475</v>
      </c>
      <c r="D224" s="9">
        <f t="shared" si="18"/>
        <v>6599.5573921665746</v>
      </c>
      <c r="E224" s="9">
        <f t="shared" si="19"/>
        <v>0</v>
      </c>
      <c r="F224" s="9">
        <f t="shared" si="21"/>
        <v>964.55146499020282</v>
      </c>
      <c r="G224" s="9">
        <f t="shared" si="22"/>
        <v>5635.0059271763721</v>
      </c>
      <c r="H224" s="9">
        <f t="shared" si="23"/>
        <v>225857.34567047231</v>
      </c>
    </row>
    <row r="225" spans="2:8" x14ac:dyDescent="0.25">
      <c r="B225" s="8">
        <f t="shared" ca="1" si="20"/>
        <v>52505</v>
      </c>
      <c r="D225" s="9">
        <f t="shared" si="18"/>
        <v>6599.5573921665746</v>
      </c>
      <c r="E225" s="9">
        <f t="shared" si="19"/>
        <v>0</v>
      </c>
      <c r="F225" s="9">
        <f t="shared" si="21"/>
        <v>941.0722736269679</v>
      </c>
      <c r="G225" s="9">
        <f t="shared" si="22"/>
        <v>5658.4851185396064</v>
      </c>
      <c r="H225" s="9">
        <f t="shared" si="23"/>
        <v>220198.86055193271</v>
      </c>
    </row>
    <row r="226" spans="2:8" x14ac:dyDescent="0.25">
      <c r="B226" s="8">
        <f t="shared" ca="1" si="20"/>
        <v>52536</v>
      </c>
      <c r="D226" s="9">
        <f t="shared" si="18"/>
        <v>6599.5573921665746</v>
      </c>
      <c r="E226" s="9">
        <f t="shared" si="19"/>
        <v>0</v>
      </c>
      <c r="F226" s="9">
        <f t="shared" si="21"/>
        <v>917.4952522997196</v>
      </c>
      <c r="G226" s="9">
        <f t="shared" si="22"/>
        <v>5682.0621398668554</v>
      </c>
      <c r="H226" s="9">
        <f t="shared" si="23"/>
        <v>214516.79841206587</v>
      </c>
    </row>
    <row r="227" spans="2:8" x14ac:dyDescent="0.25">
      <c r="B227" s="8">
        <f t="shared" ca="1" si="20"/>
        <v>52566</v>
      </c>
      <c r="D227" s="9">
        <f t="shared" si="18"/>
        <v>6599.5573921665746</v>
      </c>
      <c r="E227" s="9">
        <f t="shared" si="19"/>
        <v>0</v>
      </c>
      <c r="F227" s="9">
        <f t="shared" si="21"/>
        <v>893.81999338360777</v>
      </c>
      <c r="G227" s="9">
        <f t="shared" si="22"/>
        <v>5705.7373987829669</v>
      </c>
      <c r="H227" s="9">
        <f t="shared" si="23"/>
        <v>208811.06101328289</v>
      </c>
    </row>
    <row r="228" spans="2:8" x14ac:dyDescent="0.25">
      <c r="B228" s="8">
        <f t="shared" ca="1" si="20"/>
        <v>52597</v>
      </c>
      <c r="D228" s="9">
        <f t="shared" si="18"/>
        <v>6599.5573921665746</v>
      </c>
      <c r="E228" s="9">
        <f t="shared" si="19"/>
        <v>0</v>
      </c>
      <c r="F228" s="9">
        <f t="shared" si="21"/>
        <v>870.04608755534537</v>
      </c>
      <c r="G228" s="9">
        <f t="shared" si="22"/>
        <v>5729.5113046112292</v>
      </c>
      <c r="H228" s="9">
        <f t="shared" si="23"/>
        <v>203081.54970867166</v>
      </c>
    </row>
    <row r="229" spans="2:8" x14ac:dyDescent="0.25">
      <c r="B229" s="8">
        <f t="shared" ca="1" si="20"/>
        <v>52628</v>
      </c>
      <c r="D229" s="9">
        <f t="shared" si="18"/>
        <v>6599.5573921665746</v>
      </c>
      <c r="E229" s="9">
        <f t="shared" si="19"/>
        <v>0</v>
      </c>
      <c r="F229" s="9">
        <f t="shared" si="21"/>
        <v>846.1731237861319</v>
      </c>
      <c r="G229" s="9">
        <f t="shared" si="22"/>
        <v>5753.3842683804423</v>
      </c>
      <c r="H229" s="9">
        <f t="shared" si="23"/>
        <v>197328.16544029122</v>
      </c>
    </row>
    <row r="230" spans="2:8" x14ac:dyDescent="0.25">
      <c r="B230" s="8">
        <f t="shared" ca="1" si="20"/>
        <v>52657</v>
      </c>
      <c r="D230" s="9">
        <f t="shared" si="18"/>
        <v>6599.5573921665746</v>
      </c>
      <c r="E230" s="9">
        <f t="shared" si="19"/>
        <v>0</v>
      </c>
      <c r="F230" s="9">
        <f t="shared" si="21"/>
        <v>822.20068933454672</v>
      </c>
      <c r="G230" s="9">
        <f t="shared" si="22"/>
        <v>5777.3567028320276</v>
      </c>
      <c r="H230" s="9">
        <f t="shared" si="23"/>
        <v>191550.80873745919</v>
      </c>
    </row>
    <row r="231" spans="2:8" x14ac:dyDescent="0.25">
      <c r="B231" s="8">
        <f t="shared" ca="1" si="20"/>
        <v>52688</v>
      </c>
      <c r="D231" s="9">
        <f t="shared" si="18"/>
        <v>6599.5573921665746</v>
      </c>
      <c r="E231" s="9">
        <f t="shared" si="19"/>
        <v>0</v>
      </c>
      <c r="F231" s="9">
        <f t="shared" si="21"/>
        <v>798.1283697394133</v>
      </c>
      <c r="G231" s="9">
        <f t="shared" si="22"/>
        <v>5801.4290224271608</v>
      </c>
      <c r="H231" s="9">
        <f t="shared" si="23"/>
        <v>185749.37971503203</v>
      </c>
    </row>
    <row r="232" spans="2:8" x14ac:dyDescent="0.25">
      <c r="B232" s="8">
        <f t="shared" ca="1" si="20"/>
        <v>52718</v>
      </c>
      <c r="D232" s="9">
        <f t="shared" si="18"/>
        <v>6599.5573921665746</v>
      </c>
      <c r="E232" s="9">
        <f t="shared" si="19"/>
        <v>0</v>
      </c>
      <c r="F232" s="9">
        <f t="shared" si="21"/>
        <v>773.95574881263349</v>
      </c>
      <c r="G232" s="9">
        <f t="shared" si="22"/>
        <v>5825.6016433539407</v>
      </c>
      <c r="H232" s="9">
        <f t="shared" si="23"/>
        <v>179923.7780716781</v>
      </c>
    </row>
    <row r="233" spans="2:8" x14ac:dyDescent="0.25">
      <c r="B233" s="8">
        <f t="shared" ca="1" si="20"/>
        <v>52749</v>
      </c>
      <c r="D233" s="9">
        <f t="shared" si="18"/>
        <v>6599.5573921665746</v>
      </c>
      <c r="E233" s="9">
        <f t="shared" si="19"/>
        <v>0</v>
      </c>
      <c r="F233" s="9">
        <f t="shared" si="21"/>
        <v>749.68240863199208</v>
      </c>
      <c r="G233" s="9">
        <f t="shared" si="22"/>
        <v>5849.8749835345825</v>
      </c>
      <c r="H233" s="9">
        <f t="shared" si="23"/>
        <v>174073.9030881435</v>
      </c>
    </row>
    <row r="234" spans="2:8" x14ac:dyDescent="0.25">
      <c r="B234" s="8">
        <f t="shared" ca="1" si="20"/>
        <v>52779</v>
      </c>
      <c r="D234" s="9">
        <f t="shared" si="18"/>
        <v>6599.5573921665746</v>
      </c>
      <c r="E234" s="9">
        <f t="shared" si="19"/>
        <v>0</v>
      </c>
      <c r="F234" s="9">
        <f t="shared" si="21"/>
        <v>725.3079295339312</v>
      </c>
      <c r="G234" s="9">
        <f t="shared" si="22"/>
        <v>5874.2494626326434</v>
      </c>
      <c r="H234" s="9">
        <f t="shared" si="23"/>
        <v>168199.65362551087</v>
      </c>
    </row>
    <row r="235" spans="2:8" x14ac:dyDescent="0.25">
      <c r="B235" s="8">
        <f t="shared" ca="1" si="20"/>
        <v>52810</v>
      </c>
      <c r="D235" s="9">
        <f t="shared" si="18"/>
        <v>6599.5573921665746</v>
      </c>
      <c r="E235" s="9">
        <f t="shared" si="19"/>
        <v>0</v>
      </c>
      <c r="F235" s="9">
        <f t="shared" si="21"/>
        <v>700.8318901062953</v>
      </c>
      <c r="G235" s="9">
        <f t="shared" si="22"/>
        <v>5898.7255020602788</v>
      </c>
      <c r="H235" s="9">
        <f t="shared" si="23"/>
        <v>162300.92812345058</v>
      </c>
    </row>
    <row r="236" spans="2:8" x14ac:dyDescent="0.25">
      <c r="B236" s="8">
        <f t="shared" ca="1" si="20"/>
        <v>52841</v>
      </c>
      <c r="D236" s="9">
        <f t="shared" si="18"/>
        <v>6599.5573921665746</v>
      </c>
      <c r="E236" s="9">
        <f t="shared" si="19"/>
        <v>0</v>
      </c>
      <c r="F236" s="9">
        <f t="shared" si="21"/>
        <v>676.25386718104403</v>
      </c>
      <c r="G236" s="9">
        <f t="shared" si="22"/>
        <v>5923.3035249855302</v>
      </c>
      <c r="H236" s="9">
        <f t="shared" si="23"/>
        <v>156377.62459846504</v>
      </c>
    </row>
    <row r="237" spans="2:8" x14ac:dyDescent="0.25">
      <c r="B237" s="8">
        <f t="shared" ca="1" si="20"/>
        <v>52871</v>
      </c>
      <c r="D237" s="9">
        <f t="shared" si="18"/>
        <v>6599.5573921665746</v>
      </c>
      <c r="E237" s="9">
        <f t="shared" si="19"/>
        <v>0</v>
      </c>
      <c r="F237" s="9">
        <f t="shared" si="21"/>
        <v>651.57343582693773</v>
      </c>
      <c r="G237" s="9">
        <f t="shared" si="22"/>
        <v>5947.9839563396372</v>
      </c>
      <c r="H237" s="9">
        <f t="shared" si="23"/>
        <v>150429.64064212542</v>
      </c>
    </row>
    <row r="238" spans="2:8" x14ac:dyDescent="0.25">
      <c r="B238" s="8">
        <f t="shared" ca="1" si="20"/>
        <v>52902</v>
      </c>
      <c r="D238" s="9">
        <f t="shared" si="18"/>
        <v>6599.5573921665746</v>
      </c>
      <c r="E238" s="9">
        <f t="shared" si="19"/>
        <v>0</v>
      </c>
      <c r="F238" s="9">
        <f t="shared" si="21"/>
        <v>626.7901693421893</v>
      </c>
      <c r="G238" s="9">
        <f t="shared" si="22"/>
        <v>5972.7672228243855</v>
      </c>
      <c r="H238" s="9">
        <f t="shared" si="23"/>
        <v>144456.87341930103</v>
      </c>
    </row>
    <row r="239" spans="2:8" x14ac:dyDescent="0.25">
      <c r="B239" s="8">
        <f t="shared" ca="1" si="20"/>
        <v>52932</v>
      </c>
      <c r="D239" s="9">
        <f t="shared" si="18"/>
        <v>6599.5573921665746</v>
      </c>
      <c r="E239" s="9">
        <f t="shared" si="19"/>
        <v>0</v>
      </c>
      <c r="F239" s="9">
        <f t="shared" si="21"/>
        <v>601.90363924708765</v>
      </c>
      <c r="G239" s="9">
        <f t="shared" si="22"/>
        <v>5997.6537529194866</v>
      </c>
      <c r="H239" s="9">
        <f t="shared" si="23"/>
        <v>138459.21966638154</v>
      </c>
    </row>
    <row r="240" spans="2:8" x14ac:dyDescent="0.25">
      <c r="B240" s="8">
        <f t="shared" ca="1" si="20"/>
        <v>52963</v>
      </c>
      <c r="D240" s="9">
        <f t="shared" si="18"/>
        <v>6599.5573921665746</v>
      </c>
      <c r="E240" s="9">
        <f t="shared" si="19"/>
        <v>0</v>
      </c>
      <c r="F240" s="9">
        <f t="shared" si="21"/>
        <v>576.91341527658972</v>
      </c>
      <c r="G240" s="9">
        <f t="shared" si="22"/>
        <v>6022.6439768899845</v>
      </c>
      <c r="H240" s="9">
        <f t="shared" si="23"/>
        <v>132436.57568949155</v>
      </c>
    </row>
    <row r="241" spans="2:8" x14ac:dyDescent="0.25">
      <c r="B241" s="8">
        <f t="shared" ca="1" si="20"/>
        <v>52994</v>
      </c>
      <c r="D241" s="9">
        <f t="shared" si="18"/>
        <v>6599.5573921665746</v>
      </c>
      <c r="E241" s="9">
        <f t="shared" si="19"/>
        <v>0</v>
      </c>
      <c r="F241" s="9">
        <f t="shared" si="21"/>
        <v>551.81906537288148</v>
      </c>
      <c r="G241" s="9">
        <f t="shared" si="22"/>
        <v>6047.738326793693</v>
      </c>
      <c r="H241" s="9">
        <f t="shared" si="23"/>
        <v>126388.83736269786</v>
      </c>
    </row>
    <row r="242" spans="2:8" x14ac:dyDescent="0.25">
      <c r="B242" s="8">
        <f t="shared" ca="1" si="20"/>
        <v>53022</v>
      </c>
      <c r="D242" s="9">
        <f t="shared" si="18"/>
        <v>6599.5573921665746</v>
      </c>
      <c r="E242" s="9">
        <f t="shared" si="19"/>
        <v>0</v>
      </c>
      <c r="F242" s="9">
        <f t="shared" si="21"/>
        <v>526.62015567790775</v>
      </c>
      <c r="G242" s="9">
        <f t="shared" si="22"/>
        <v>6072.9372364886667</v>
      </c>
      <c r="H242" s="9">
        <f t="shared" si="23"/>
        <v>120315.90012620919</v>
      </c>
    </row>
    <row r="243" spans="2:8" x14ac:dyDescent="0.25">
      <c r="B243" s="8">
        <f t="shared" ca="1" si="20"/>
        <v>53053</v>
      </c>
      <c r="D243" s="9">
        <f t="shared" si="18"/>
        <v>6599.5573921665746</v>
      </c>
      <c r="E243" s="9">
        <f t="shared" si="19"/>
        <v>0</v>
      </c>
      <c r="F243" s="9">
        <f t="shared" si="21"/>
        <v>501.31625052587162</v>
      </c>
      <c r="G243" s="9">
        <f t="shared" si="22"/>
        <v>6098.2411416407031</v>
      </c>
      <c r="H243" s="9">
        <f t="shared" si="23"/>
        <v>114217.65898456849</v>
      </c>
    </row>
    <row r="244" spans="2:8" x14ac:dyDescent="0.25">
      <c r="B244" s="8">
        <f t="shared" ca="1" si="20"/>
        <v>53083</v>
      </c>
      <c r="D244" s="9">
        <f t="shared" si="18"/>
        <v>6599.5573921665746</v>
      </c>
      <c r="E244" s="9">
        <f t="shared" si="19"/>
        <v>0</v>
      </c>
      <c r="F244" s="9">
        <f t="shared" si="21"/>
        <v>475.90691243570205</v>
      </c>
      <c r="G244" s="9">
        <f t="shared" si="22"/>
        <v>6123.6504797308726</v>
      </c>
      <c r="H244" s="9">
        <f t="shared" si="23"/>
        <v>108094.00850483762</v>
      </c>
    </row>
    <row r="245" spans="2:8" x14ac:dyDescent="0.25">
      <c r="B245" s="8">
        <f t="shared" ca="1" si="20"/>
        <v>53114</v>
      </c>
      <c r="D245" s="9">
        <f t="shared" si="18"/>
        <v>6599.5573921665746</v>
      </c>
      <c r="E245" s="9">
        <f t="shared" si="19"/>
        <v>0</v>
      </c>
      <c r="F245" s="9">
        <f t="shared" si="21"/>
        <v>450.3917021034901</v>
      </c>
      <c r="G245" s="9">
        <f t="shared" si="22"/>
        <v>6149.1656900630842</v>
      </c>
      <c r="H245" s="9">
        <f t="shared" si="23"/>
        <v>101944.84281477454</v>
      </c>
    </row>
    <row r="246" spans="2:8" x14ac:dyDescent="0.25">
      <c r="B246" s="8">
        <f t="shared" ca="1" si="20"/>
        <v>53144</v>
      </c>
      <c r="D246" s="9">
        <f t="shared" si="18"/>
        <v>6599.5573921665746</v>
      </c>
      <c r="E246" s="9">
        <f t="shared" si="19"/>
        <v>0</v>
      </c>
      <c r="F246" s="9">
        <f t="shared" si="21"/>
        <v>424.77017839489395</v>
      </c>
      <c r="G246" s="9">
        <f t="shared" si="22"/>
        <v>6174.7872137716804</v>
      </c>
      <c r="H246" s="9">
        <f t="shared" si="23"/>
        <v>95770.055601002867</v>
      </c>
    </row>
    <row r="247" spans="2:8" x14ac:dyDescent="0.25">
      <c r="B247" s="8">
        <f t="shared" ca="1" si="20"/>
        <v>53175</v>
      </c>
      <c r="D247" s="9">
        <f t="shared" si="18"/>
        <v>6599.5573921665746</v>
      </c>
      <c r="E247" s="9">
        <f t="shared" si="19"/>
        <v>0</v>
      </c>
      <c r="F247" s="9">
        <f t="shared" si="21"/>
        <v>399.04189833751195</v>
      </c>
      <c r="G247" s="9">
        <f t="shared" si="22"/>
        <v>6200.5154938290625</v>
      </c>
      <c r="H247" s="9">
        <f t="shared" si="23"/>
        <v>89569.540107173802</v>
      </c>
    </row>
    <row r="248" spans="2:8" x14ac:dyDescent="0.25">
      <c r="B248" s="8">
        <f t="shared" ca="1" si="20"/>
        <v>53206</v>
      </c>
      <c r="D248" s="9">
        <f t="shared" si="18"/>
        <v>6599.5573921665746</v>
      </c>
      <c r="E248" s="9">
        <f t="shared" si="19"/>
        <v>0</v>
      </c>
      <c r="F248" s="9">
        <f t="shared" si="21"/>
        <v>373.20641711322418</v>
      </c>
      <c r="G248" s="9">
        <f t="shared" si="22"/>
        <v>6226.3509750533503</v>
      </c>
      <c r="H248" s="9">
        <f t="shared" si="23"/>
        <v>83343.189132120446</v>
      </c>
    </row>
    <row r="249" spans="2:8" x14ac:dyDescent="0.25">
      <c r="B249" s="8">
        <f t="shared" ca="1" si="20"/>
        <v>53236</v>
      </c>
      <c r="D249" s="9">
        <f t="shared" si="18"/>
        <v>6599.5573921665746</v>
      </c>
      <c r="E249" s="9">
        <f t="shared" si="19"/>
        <v>0</v>
      </c>
      <c r="F249" s="9">
        <f t="shared" si="21"/>
        <v>347.26328805050184</v>
      </c>
      <c r="G249" s="9">
        <f t="shared" si="22"/>
        <v>6252.294104116073</v>
      </c>
      <c r="H249" s="9">
        <f t="shared" si="23"/>
        <v>77090.895028004379</v>
      </c>
    </row>
    <row r="250" spans="2:8" x14ac:dyDescent="0.25">
      <c r="B250" s="8">
        <f t="shared" ca="1" si="20"/>
        <v>53267</v>
      </c>
      <c r="D250" s="9">
        <f t="shared" si="18"/>
        <v>6599.5573921665746</v>
      </c>
      <c r="E250" s="9">
        <f t="shared" si="19"/>
        <v>0</v>
      </c>
      <c r="F250" s="9">
        <f t="shared" si="21"/>
        <v>321.21206261668493</v>
      </c>
      <c r="G250" s="9">
        <f t="shared" si="22"/>
        <v>6278.3453295498894</v>
      </c>
      <c r="H250" s="9">
        <f t="shared" si="23"/>
        <v>70812.549698454488</v>
      </c>
    </row>
    <row r="251" spans="2:8" x14ac:dyDescent="0.25">
      <c r="B251" s="8">
        <f t="shared" ca="1" si="20"/>
        <v>53297</v>
      </c>
      <c r="D251" s="9">
        <f t="shared" si="18"/>
        <v>6599.5573921665746</v>
      </c>
      <c r="E251" s="9">
        <f t="shared" si="19"/>
        <v>0</v>
      </c>
      <c r="F251" s="9">
        <f t="shared" si="21"/>
        <v>295.05229041022704</v>
      </c>
      <c r="G251" s="9">
        <f t="shared" si="22"/>
        <v>6304.5051017563474</v>
      </c>
      <c r="H251" s="9">
        <f t="shared" si="23"/>
        <v>64508.044596698142</v>
      </c>
    </row>
    <row r="252" spans="2:8" x14ac:dyDescent="0.25">
      <c r="B252" s="8">
        <f t="shared" ca="1" si="20"/>
        <v>53328</v>
      </c>
      <c r="D252" s="9">
        <f t="shared" si="18"/>
        <v>6599.5573921665746</v>
      </c>
      <c r="E252" s="9">
        <f t="shared" si="19"/>
        <v>0</v>
      </c>
      <c r="F252" s="9">
        <f t="shared" si="21"/>
        <v>268.78351915290892</v>
      </c>
      <c r="G252" s="9">
        <f t="shared" si="22"/>
        <v>6330.7738730136653</v>
      </c>
      <c r="H252" s="9">
        <f t="shared" si="23"/>
        <v>58177.27072368448</v>
      </c>
    </row>
    <row r="253" spans="2:8" x14ac:dyDescent="0.25">
      <c r="B253" s="8">
        <f t="shared" ca="1" si="20"/>
        <v>53359</v>
      </c>
      <c r="D253" s="9">
        <f t="shared" si="18"/>
        <v>6599.5573921665746</v>
      </c>
      <c r="E253" s="9">
        <f t="shared" si="19"/>
        <v>0</v>
      </c>
      <c r="F253" s="9">
        <f t="shared" si="21"/>
        <v>242.40529468201865</v>
      </c>
      <c r="G253" s="9">
        <f t="shared" si="22"/>
        <v>6357.1520974845562</v>
      </c>
      <c r="H253" s="9">
        <f t="shared" si="23"/>
        <v>51820.118626199925</v>
      </c>
    </row>
    <row r="254" spans="2:8" x14ac:dyDescent="0.25">
      <c r="B254" s="8">
        <f t="shared" ca="1" si="20"/>
        <v>53387</v>
      </c>
      <c r="D254" s="9">
        <f t="shared" si="18"/>
        <v>6599.5573921665746</v>
      </c>
      <c r="E254" s="9">
        <f t="shared" si="19"/>
        <v>0</v>
      </c>
      <c r="F254" s="9">
        <f t="shared" si="21"/>
        <v>215.91716094249969</v>
      </c>
      <c r="G254" s="9">
        <f t="shared" si="22"/>
        <v>6383.6402312240753</v>
      </c>
      <c r="H254" s="9">
        <f t="shared" si="23"/>
        <v>45436.478394975849</v>
      </c>
    </row>
    <row r="255" spans="2:8" x14ac:dyDescent="0.25">
      <c r="B255" s="8">
        <f t="shared" ca="1" si="20"/>
        <v>53418</v>
      </c>
      <c r="D255" s="9">
        <f t="shared" si="18"/>
        <v>6599.5573921665746</v>
      </c>
      <c r="E255" s="9">
        <f t="shared" si="19"/>
        <v>0</v>
      </c>
      <c r="F255" s="9">
        <f t="shared" si="21"/>
        <v>189.31865997906604</v>
      </c>
      <c r="G255" s="9">
        <f t="shared" si="22"/>
        <v>6410.2387321875085</v>
      </c>
      <c r="H255" s="9">
        <f t="shared" si="23"/>
        <v>39026.239662788343</v>
      </c>
    </row>
    <row r="256" spans="2:8" x14ac:dyDescent="0.25">
      <c r="B256" s="8">
        <f t="shared" ca="1" si="20"/>
        <v>53448</v>
      </c>
      <c r="D256" s="9">
        <f t="shared" si="18"/>
        <v>6599.5573921665746</v>
      </c>
      <c r="E256" s="9">
        <f t="shared" si="19"/>
        <v>0</v>
      </c>
      <c r="F256" s="9">
        <f t="shared" si="21"/>
        <v>162.60933192828475</v>
      </c>
      <c r="G256" s="9">
        <f t="shared" si="22"/>
        <v>6436.9480602382901</v>
      </c>
      <c r="H256" s="9">
        <f t="shared" si="23"/>
        <v>32589.291602550053</v>
      </c>
    </row>
    <row r="257" spans="2:8" x14ac:dyDescent="0.25">
      <c r="B257" s="8">
        <f t="shared" ca="1" si="20"/>
        <v>53479</v>
      </c>
      <c r="D257" s="9">
        <f t="shared" si="18"/>
        <v>6599.5573921665746</v>
      </c>
      <c r="E257" s="9">
        <f t="shared" si="19"/>
        <v>0</v>
      </c>
      <c r="F257" s="9">
        <f t="shared" si="21"/>
        <v>135.78871501062522</v>
      </c>
      <c r="G257" s="9">
        <f t="shared" si="22"/>
        <v>6463.7686771559493</v>
      </c>
      <c r="H257" s="9">
        <f t="shared" si="23"/>
        <v>26125.522925394103</v>
      </c>
    </row>
    <row r="258" spans="2:8" x14ac:dyDescent="0.25">
      <c r="B258" s="8">
        <f t="shared" ca="1" si="20"/>
        <v>53509</v>
      </c>
      <c r="D258" s="9">
        <f t="shared" si="18"/>
        <v>6599.5573921665746</v>
      </c>
      <c r="E258" s="9">
        <f t="shared" si="19"/>
        <v>0</v>
      </c>
      <c r="F258" s="9">
        <f t="shared" si="21"/>
        <v>108.85634552247542</v>
      </c>
      <c r="G258" s="9">
        <f t="shared" si="22"/>
        <v>6490.7010466440988</v>
      </c>
      <c r="H258" s="9">
        <f t="shared" si="23"/>
        <v>19634.821878750005</v>
      </c>
    </row>
    <row r="259" spans="2:8" x14ac:dyDescent="0.25">
      <c r="B259" s="8">
        <f t="shared" ca="1" si="20"/>
        <v>53540</v>
      </c>
      <c r="D259" s="9">
        <f t="shared" si="18"/>
        <v>6599.5573921665746</v>
      </c>
      <c r="E259" s="9">
        <f t="shared" si="19"/>
        <v>0</v>
      </c>
      <c r="F259" s="9">
        <f t="shared" si="21"/>
        <v>81.811757828125025</v>
      </c>
      <c r="G259" s="9">
        <f t="shared" si="22"/>
        <v>6517.7456343384492</v>
      </c>
      <c r="H259" s="9">
        <f t="shared" si="23"/>
        <v>13117.076244411555</v>
      </c>
    </row>
    <row r="260" spans="2:8" x14ac:dyDescent="0.25">
      <c r="B260" s="8">
        <f t="shared" ca="1" si="20"/>
        <v>53571</v>
      </c>
      <c r="D260" s="9">
        <f t="shared" si="18"/>
        <v>6599.5573921665746</v>
      </c>
      <c r="E260" s="9">
        <f t="shared" si="19"/>
        <v>0</v>
      </c>
      <c r="F260" s="9">
        <f t="shared" si="21"/>
        <v>54.654484351714814</v>
      </c>
      <c r="G260" s="9">
        <f t="shared" si="22"/>
        <v>6544.9029078148596</v>
      </c>
      <c r="H260" s="9">
        <f t="shared" si="23"/>
        <v>6572.1733365966957</v>
      </c>
    </row>
    <row r="261" spans="2:8" x14ac:dyDescent="0.25">
      <c r="B261" s="10">
        <f t="shared" ca="1" si="20"/>
        <v>53601</v>
      </c>
      <c r="C261" s="11"/>
      <c r="D261" s="12">
        <f t="shared" si="18"/>
        <v>6599.5573921665746</v>
      </c>
      <c r="E261" s="12">
        <f t="shared" si="19"/>
        <v>0</v>
      </c>
      <c r="F261" s="12">
        <f t="shared" si="21"/>
        <v>27.384055569152899</v>
      </c>
      <c r="G261" s="12">
        <f t="shared" si="22"/>
        <v>6572.1733365974214</v>
      </c>
      <c r="H261" s="12">
        <f t="shared" si="23"/>
        <v>-7.2577677201479673E-10</v>
      </c>
    </row>
    <row r="262" spans="2:8" x14ac:dyDescent="0.25">
      <c r="B262" s="8"/>
      <c r="D262" s="9"/>
      <c r="E262" s="9"/>
      <c r="F262" s="9"/>
      <c r="G262" s="9"/>
      <c r="H262" s="9"/>
    </row>
    <row r="263" spans="2:8" x14ac:dyDescent="0.25">
      <c r="B263" s="8"/>
      <c r="D263" s="9"/>
      <c r="E263" s="9"/>
      <c r="F263" s="9"/>
      <c r="G263" s="9"/>
      <c r="H263" s="9"/>
    </row>
    <row r="264" spans="2:8" x14ac:dyDescent="0.25">
      <c r="B264" s="8"/>
      <c r="D264" s="9"/>
      <c r="E264" s="9"/>
      <c r="F264" s="9"/>
      <c r="G264" s="9"/>
      <c r="H264" s="9"/>
    </row>
    <row r="265" spans="2:8" x14ac:dyDescent="0.25">
      <c r="B265" s="8"/>
      <c r="D265" s="9"/>
      <c r="E265" s="9"/>
      <c r="F265" s="9"/>
      <c r="G265" s="9"/>
      <c r="H265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malra</dc:creator>
  <cp:lastModifiedBy>yash malra</cp:lastModifiedBy>
  <dcterms:created xsi:type="dcterms:W3CDTF">2026-03-17T17:56:08Z</dcterms:created>
  <dcterms:modified xsi:type="dcterms:W3CDTF">2026-10-03T18:51:12Z</dcterms:modified>
</cp:coreProperties>
</file>